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istData" sheetId="2" state="visible" r:id="rId2"/>
    <sheet xmlns:r="http://schemas.openxmlformats.org/officeDocument/2006/relationships" name="README" sheetId="3" state="visible" r:id="rId3"/>
  </sheets>
  <definedNames>
    <definedName name="_xlnm._FilterDatabase" localSheetId="1" hidden="1">'DistData'!$A$1:$Q$181</definedName>
  </definedNames>
  <calcPr calcId="124519" calcMode="auto" fullCalcOnLoad="1" forceFullCalc="1"/>
</workbook>
</file>

<file path=xl/styles.xml><?xml version="1.0" encoding="utf-8"?>
<styleSheet xmlns="http://schemas.openxmlformats.org/spreadsheetml/2006/main">
  <numFmts count="4">
    <numFmt numFmtId="164" formatCode="yyyy-mm-dd"/>
    <numFmt numFmtId="165" formatCode="mmm-yyyy"/>
    <numFmt numFmtId="166" formatCode="₹#,##0"/>
    <numFmt numFmtId="167" formatCode="0.0%"/>
  </numFmts>
  <fonts count="8">
    <font>
      <name val="Calibri"/>
      <family val="2"/>
      <color theme="1"/>
      <sz val="11"/>
      <scheme val="minor"/>
    </font>
    <font>
      <b val="1"/>
      <color rgb="00FFFFFF"/>
    </font>
    <font>
      <b val="1"/>
      <color rgb="00FFFFFF"/>
      <sz val="18"/>
    </font>
    <font>
      <i val="1"/>
      <color rgb="009C0006"/>
    </font>
    <font>
      <b val="1"/>
      <color rgb="001F1F1F"/>
      <sz val="14"/>
    </font>
    <font>
      <b val="1"/>
      <sz val="13"/>
    </font>
    <font>
      <b val="1"/>
      <color rgb="00FFFFFF"/>
      <sz val="16"/>
    </font>
    <font>
      <b val="1"/>
    </font>
  </fonts>
  <fills count="7">
    <fill>
      <patternFill/>
    </fill>
    <fill>
      <patternFill patternType="gray125"/>
    </fill>
    <fill>
      <patternFill patternType="solid">
        <fgColor rgb="001F4E78"/>
      </patternFill>
    </fill>
    <fill>
      <patternFill patternType="solid">
        <fgColor rgb="004472C4"/>
      </patternFill>
    </fill>
    <fill>
      <patternFill patternType="solid">
        <fgColor rgb="00D9EAF7"/>
      </patternFill>
    </fill>
    <fill>
      <patternFill patternType="solid">
        <fgColor rgb="005B9BD5"/>
      </patternFill>
    </fill>
    <fill>
      <patternFill patternType="solid">
        <fgColor rgb="00FFF2CC"/>
      </patternFill>
    </fill>
  </fills>
  <borders count="1">
    <border>
      <left/>
      <right/>
      <top/>
      <bottom/>
      <diagonal/>
    </border>
  </borders>
  <cellStyleXfs count="1">
    <xf numFmtId="0" fontId="0" fillId="0" borderId="0"/>
  </cellStyleXfs>
  <cellXfs count="21">
    <xf numFmtId="0" fontId="0" fillId="0" borderId="0" pivotButton="0" quotePrefix="0" xfId="0"/>
    <xf numFmtId="0" fontId="2" fillId="2"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xf numFmtId="0" fontId="1" fillId="3" borderId="0" applyAlignment="1" pivotButton="0" quotePrefix="0" xfId="0">
      <alignment horizontal="center" vertical="center" wrapText="1"/>
    </xf>
    <xf numFmtId="166" fontId="4" fillId="4" borderId="0" applyAlignment="1" pivotButton="0" quotePrefix="0" xfId="0">
      <alignment horizontal="center" vertical="center" wrapText="1"/>
    </xf>
    <xf numFmtId="167" fontId="4" fillId="4" borderId="0" applyAlignment="1" pivotButton="0" quotePrefix="0" xfId="0">
      <alignment horizontal="center" vertical="center" wrapText="1"/>
    </xf>
    <xf numFmtId="1" fontId="4" fillId="4" borderId="0" applyAlignment="1" pivotButton="0" quotePrefix="0" xfId="0">
      <alignment horizontal="center" vertical="center" wrapText="1"/>
    </xf>
    <xf numFmtId="0" fontId="5" fillId="0" borderId="0" applyAlignment="1" pivotButton="0" quotePrefix="0" xfId="0">
      <alignment horizontal="left" vertical="center" wrapText="1"/>
    </xf>
    <xf numFmtId="0" fontId="1" fillId="5" borderId="0" applyAlignment="1" pivotButton="0" quotePrefix="0" xfId="0">
      <alignment horizontal="left" vertical="center" wrapText="1"/>
    </xf>
    <xf numFmtId="166" fontId="0" fillId="0" borderId="0" applyAlignment="1" pivotButton="0" quotePrefix="0" xfId="0">
      <alignment horizontal="left" vertical="center" wrapText="1"/>
    </xf>
    <xf numFmtId="167" fontId="0" fillId="0" borderId="0" applyAlignment="1" pivotButton="0" quotePrefix="0" xfId="0">
      <alignment horizontal="left" vertical="center" wrapText="1"/>
    </xf>
    <xf numFmtId="165" fontId="0" fillId="0" borderId="0" applyAlignment="1" pivotButton="0" quotePrefix="0" xfId="0">
      <alignment horizontal="left" vertical="center" wrapText="1"/>
    </xf>
    <xf numFmtId="0" fontId="0" fillId="6" borderId="0" applyAlignment="1" pivotButton="0" quotePrefix="0" xfId="0">
      <alignment horizontal="left" vertical="top" wrapText="1"/>
    </xf>
    <xf numFmtId="0" fontId="1" fillId="2" borderId="0" applyAlignment="1" pivotButton="0" quotePrefix="0" xfId="0">
      <alignment vertical="center" wrapText="1"/>
    </xf>
    <xf numFmtId="165" fontId="0" fillId="0" borderId="0" pivotButton="0" quotePrefix="0" xfId="0"/>
    <xf numFmtId="166" fontId="0" fillId="0" borderId="0" pivotButton="0" quotePrefix="0" xfId="0"/>
    <xf numFmtId="167" fontId="0" fillId="0" borderId="0" pivotButton="0" quotePrefix="0" xfId="0"/>
    <xf numFmtId="0" fontId="6" fillId="2" borderId="0" applyAlignment="1" pivotButton="0" quotePrefix="0" xfId="0">
      <alignment horizontal="left" vertical="center" wrapText="1"/>
    </xf>
    <xf numFmtId="0" fontId="7" fillId="4" borderId="0" applyAlignment="1" pivotButton="0" quotePrefix="0" xfId="0">
      <alignment horizontal="left" vertical="center" wrapText="1"/>
    </xf>
    <xf numFmtId="0" fontId="0" fillId="0" borderId="0" applyAlignment="1" pivotButton="0" quotePrefix="0" xfId="0">
      <alignment horizontal="left" vertical="top" wrapText="1"/>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Profitability by Distributor</a:t>
            </a:r>
          </a:p>
        </rich>
      </tx>
    </title>
    <plotArea>
      <barChart>
        <barDir val="bar"/>
        <grouping val="clustered"/>
        <ser>
          <idx val="0"/>
          <order val="0"/>
          <tx>
            <strRef>
              <f>'Dashboard'!D8</f>
            </strRef>
          </tx>
          <spPr>
            <a:ln xmlns:a="http://schemas.openxmlformats.org/drawingml/2006/main">
              <a:prstDash val="solid"/>
            </a:ln>
          </spPr>
          <cat>
            <numRef>
              <f>'Dashboard'!$A$9:$A$23</f>
            </numRef>
          </cat>
          <val>
            <numRef>
              <f>'Dashboard'!$D$9:$D$23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Profitability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Distributor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Primary vs Secondary Sales by Month</a:t>
            </a:r>
          </a:p>
        </rich>
      </tx>
    </title>
    <plotArea>
      <lineChart>
        <grouping val="standard"/>
        <ser>
          <idx val="0"/>
          <order val="0"/>
          <tx>
            <strRef>
              <f>'Dashboard'!B27</f>
            </strRef>
          </tx>
          <spPr>
            <a:ln xmlns:a="http://schemas.openxmlformats.org/drawingml/2006/main">
              <a:prstDash val="solid"/>
            </a:ln>
          </spPr>
          <marker>
            <symbol val="none"/>
            <spPr>
              <a:ln xmlns:a="http://schemas.openxmlformats.org/drawingml/2006/main">
                <a:prstDash val="solid"/>
              </a:ln>
            </spPr>
          </marker>
          <cat>
            <numRef>
              <f>'Dashboard'!$A$28:$A$39</f>
            </numRef>
          </cat>
          <val>
            <numRef>
              <f>'Dashboard'!$B$28:$B$39</f>
            </numRef>
          </val>
        </ser>
        <ser>
          <idx val="1"/>
          <order val="1"/>
          <tx>
            <strRef>
              <f>'Dashboard'!C27</f>
            </strRef>
          </tx>
          <spPr>
            <a:ln xmlns:a="http://schemas.openxmlformats.org/drawingml/2006/main">
              <a:prstDash val="solid"/>
            </a:ln>
          </spPr>
          <marker>
            <symbol val="none"/>
            <spPr>
              <a:ln xmlns:a="http://schemas.openxmlformats.org/drawingml/2006/main">
                <a:prstDash val="solid"/>
              </a:ln>
            </spPr>
          </marker>
          <cat>
            <numRef>
              <f>'Dashboard'!$A$28:$A$39</f>
            </numRef>
          </cat>
          <val>
            <numRef>
              <f>'Dashboard'!$C$28:$C$39</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Sales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25</row>
      <rowOff>0</rowOff>
    </from>
    <ext cx="54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DistData" displayName="DistData" ref="A1:Q181" headerRowCount="1">
  <autoFilter ref="A1:Q181"/>
  <tableColumns count="17">
    <tableColumn id="1" name="Distributor"/>
    <tableColumn id="2" name="Region / Town"/>
    <tableColumn id="3" name="Month"/>
    <tableColumn id="4" name="Primary Sales (₹)"/>
    <tableColumn id="5" name="Secondary Sales (₹)"/>
    <tableColumn id="6" name="Margin %"/>
    <tableColumn id="7" name="Scheme Claims Raised (₹)"/>
    <tableColumn id="8" name="Scheme Claims Settled (₹)"/>
    <tableColumn id="9" name="Operating Cost (₹)"/>
    <tableColumn id="10" name="Investment (₹)"/>
    <tableColumn id="11" name="Gross Margin (₹)"/>
    <tableColumn id="12" name="Net Profit (₹)"/>
    <tableColumn id="13" name="Profitability %"/>
    <tableColumn id="14" name="ROI % (annualised)"/>
    <tableColumn id="15" name="Claim Settlement %"/>
    <tableColumn id="16" name="Primary vs Secondary Gap (₹)"/>
    <tableColumn id="17" name="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45"/>
  <sheetViews>
    <sheetView showGridLines="0" workbookViewId="0">
      <pane ySplit="8" topLeftCell="A9"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s>
  <sheetData>
    <row r="1">
      <c r="A1" s="1" t="inlineStr">
        <is>
          <t>Distributor ROI &amp; Profitability Dashboard</t>
        </is>
      </c>
      <c r="B1" s="2" t="n"/>
      <c r="C1" s="2" t="n"/>
      <c r="D1" s="2" t="n"/>
      <c r="E1" s="2" t="n"/>
      <c r="F1" s="2" t="n"/>
      <c r="G1" s="2" t="n"/>
      <c r="H1" s="2" t="n"/>
    </row>
    <row r="2">
      <c r="A2" s="3" t="inlineStr">
        <is>
          <t>SIMULATED DATA — for portfolio demonstration only; not actual company/distributor results.</t>
        </is>
      </c>
      <c r="B2" s="2" t="n"/>
      <c r="C2" s="2" t="n"/>
      <c r="D2" s="2" t="n"/>
      <c r="E2" s="2" t="n"/>
      <c r="F2" s="2" t="n"/>
      <c r="G2" s="2" t="n"/>
      <c r="H2" s="2" t="n"/>
    </row>
    <row r="3">
      <c r="A3" s="2" t="n"/>
      <c r="B3" s="2" t="n"/>
      <c r="C3" s="2" t="n"/>
      <c r="D3" s="2" t="n"/>
      <c r="E3" s="2" t="n"/>
      <c r="F3" s="2" t="n"/>
      <c r="G3" s="2" t="n"/>
      <c r="H3" s="2" t="n"/>
    </row>
    <row r="4">
      <c r="A4" s="4" t="inlineStr">
        <is>
          <t>Total Primary Sales</t>
        </is>
      </c>
      <c r="B4" s="5">
        <f>SUM(DistData!D2:D181)</f>
        <v/>
      </c>
      <c r="C4" s="4" t="inlineStr">
        <is>
          <t>Average Profitability</t>
        </is>
      </c>
      <c r="D4" s="6">
        <f>AVERAGE(DistData!M2:M181)</f>
        <v/>
      </c>
      <c r="E4" s="4" t="inlineStr">
        <is>
          <t>Average Annualised ROI</t>
        </is>
      </c>
      <c r="F4" s="6">
        <f>AVERAGE(DistData!N2:N181)</f>
        <v/>
      </c>
      <c r="G4" s="4" t="inlineStr">
        <is>
          <t>Below Benchmark Rows</t>
        </is>
      </c>
      <c r="H4" s="7">
        <f>COUNTIF(DistData!Q2:Q181,"Below benchmark")</f>
        <v/>
      </c>
    </row>
    <row r="5">
      <c r="A5" s="2" t="n"/>
      <c r="B5" s="2" t="n"/>
      <c r="C5" s="2" t="n"/>
      <c r="D5" s="2" t="n"/>
      <c r="E5" s="2" t="n"/>
      <c r="F5" s="2" t="n"/>
      <c r="G5" s="2" t="n"/>
      <c r="H5" s="2" t="n"/>
    </row>
    <row r="6">
      <c r="A6" s="2" t="n"/>
      <c r="B6" s="2" t="n"/>
      <c r="C6" s="2" t="n"/>
      <c r="D6" s="2" t="n"/>
      <c r="E6" s="2" t="n"/>
      <c r="F6" s="2" t="n"/>
      <c r="G6" s="2" t="n"/>
      <c r="H6" s="2" t="n"/>
    </row>
    <row r="7">
      <c r="A7" s="8" t="inlineStr">
        <is>
          <t>Distributor Summary (12-month totals/averages)</t>
        </is>
      </c>
      <c r="B7" s="2" t="n"/>
      <c r="C7" s="2" t="n"/>
      <c r="D7" s="2" t="n"/>
      <c r="E7" s="2" t="n"/>
      <c r="F7" s="2" t="n"/>
      <c r="G7" s="2" t="n"/>
      <c r="H7" s="2" t="n"/>
    </row>
    <row r="8">
      <c r="A8" s="9" t="inlineStr">
        <is>
          <t>Distributor</t>
        </is>
      </c>
      <c r="B8" s="9" t="inlineStr">
        <is>
          <t>Region / Town</t>
        </is>
      </c>
      <c r="C8" s="9" t="inlineStr">
        <is>
          <t>Total Primary Sales (₹)</t>
        </is>
      </c>
      <c r="D8" s="9" t="inlineStr">
        <is>
          <t>Avg Profitability %</t>
        </is>
      </c>
      <c r="E8" s="9" t="inlineStr">
        <is>
          <t>Avg ROI %</t>
        </is>
      </c>
      <c r="F8" s="9" t="inlineStr">
        <is>
          <t>Avg Claim Settlement %</t>
        </is>
      </c>
      <c r="G8" s="9" t="inlineStr">
        <is>
          <t>Flag</t>
        </is>
      </c>
      <c r="H8" s="2" t="n"/>
    </row>
    <row r="9">
      <c r="A9" s="2" t="inlineStr">
        <is>
          <t>Hubli Traders</t>
        </is>
      </c>
      <c r="B9" s="2" t="inlineStr">
        <is>
          <t>Hubli</t>
        </is>
      </c>
      <c r="C9" s="10">
        <f>SUMIF(DistData!$A$2:$A$181,A9,DistData!$D$2:$D$181)</f>
        <v/>
      </c>
      <c r="D9" s="11">
        <f>AVERAGEIF(DistData!$A$2:$A$181,A9,DistData!$M$2:$M$181)</f>
        <v/>
      </c>
      <c r="E9" s="11">
        <f>AVERAGEIF(DistData!$A$2:$A$181,A9,DistData!$N$2:$N$181)</f>
        <v/>
      </c>
      <c r="F9" s="11">
        <f>AVERAGEIF(DistData!$A$2:$A$181,A9,DistData!$O$2:$O$181)</f>
        <v/>
      </c>
      <c r="G9" s="2">
        <f>IF(D9&lt;0.06,"Below benchmark",IF(D9&lt;=0.08,"On target","Strong"))</f>
        <v/>
      </c>
      <c r="H9" s="2" t="n"/>
    </row>
    <row r="10">
      <c r="A10" s="2" t="inlineStr">
        <is>
          <t>Belagavi Distributors</t>
        </is>
      </c>
      <c r="B10" s="2" t="inlineStr">
        <is>
          <t>Belagavi</t>
        </is>
      </c>
      <c r="C10" s="10">
        <f>SUMIF(DistData!$A$2:$A$181,A10,DistData!$D$2:$D$181)</f>
        <v/>
      </c>
      <c r="D10" s="11">
        <f>AVERAGEIF(DistData!$A$2:$A$181,A10,DistData!$M$2:$M$181)</f>
        <v/>
      </c>
      <c r="E10" s="11">
        <f>AVERAGEIF(DistData!$A$2:$A$181,A10,DistData!$N$2:$N$181)</f>
        <v/>
      </c>
      <c r="F10" s="11">
        <f>AVERAGEIF(DistData!$A$2:$A$181,A10,DistData!$O$2:$O$181)</f>
        <v/>
      </c>
      <c r="G10" s="2">
        <f>IF(D10&lt;0.06,"Below benchmark",IF(D10&lt;=0.08,"On target","Strong"))</f>
        <v/>
      </c>
      <c r="H10" s="2" t="n"/>
    </row>
    <row r="11">
      <c r="A11" s="2" t="inlineStr">
        <is>
          <t>Mysuru Wholesale</t>
        </is>
      </c>
      <c r="B11" s="2" t="inlineStr">
        <is>
          <t>Mysuru</t>
        </is>
      </c>
      <c r="C11" s="10">
        <f>SUMIF(DistData!$A$2:$A$181,A11,DistData!$D$2:$D$181)</f>
        <v/>
      </c>
      <c r="D11" s="11">
        <f>AVERAGEIF(DistData!$A$2:$A$181,A11,DistData!$M$2:$M$181)</f>
        <v/>
      </c>
      <c r="E11" s="11">
        <f>AVERAGEIF(DistData!$A$2:$A$181,A11,DistData!$N$2:$N$181)</f>
        <v/>
      </c>
      <c r="F11" s="11">
        <f>AVERAGEIF(DistData!$A$2:$A$181,A11,DistData!$O$2:$O$181)</f>
        <v/>
      </c>
      <c r="G11" s="2">
        <f>IF(D11&lt;0.06,"Below benchmark",IF(D11&lt;=0.08,"On target","Strong"))</f>
        <v/>
      </c>
      <c r="H11" s="2" t="n"/>
    </row>
    <row r="12">
      <c r="A12" s="2" t="inlineStr">
        <is>
          <t>Mangaluru Agencies</t>
        </is>
      </c>
      <c r="B12" s="2" t="inlineStr">
        <is>
          <t>Mangaluru</t>
        </is>
      </c>
      <c r="C12" s="10">
        <f>SUMIF(DistData!$A$2:$A$181,A12,DistData!$D$2:$D$181)</f>
        <v/>
      </c>
      <c r="D12" s="11">
        <f>AVERAGEIF(DistData!$A$2:$A$181,A12,DistData!$M$2:$M$181)</f>
        <v/>
      </c>
      <c r="E12" s="11">
        <f>AVERAGEIF(DistData!$A$2:$A$181,A12,DistData!$N$2:$N$181)</f>
        <v/>
      </c>
      <c r="F12" s="11">
        <f>AVERAGEIF(DistData!$A$2:$A$181,A12,DistData!$O$2:$O$181)</f>
        <v/>
      </c>
      <c r="G12" s="2">
        <f>IF(D12&lt;0.06,"Below benchmark",IF(D12&lt;=0.08,"On target","Strong"))</f>
        <v/>
      </c>
      <c r="H12" s="2" t="n"/>
    </row>
    <row r="13">
      <c r="A13" s="2" t="inlineStr">
        <is>
          <t>Dharwad Supply Co</t>
        </is>
      </c>
      <c r="B13" s="2" t="inlineStr">
        <is>
          <t>Dharwad</t>
        </is>
      </c>
      <c r="C13" s="10">
        <f>SUMIF(DistData!$A$2:$A$181,A13,DistData!$D$2:$D$181)</f>
        <v/>
      </c>
      <c r="D13" s="11">
        <f>AVERAGEIF(DistData!$A$2:$A$181,A13,DistData!$M$2:$M$181)</f>
        <v/>
      </c>
      <c r="E13" s="11">
        <f>AVERAGEIF(DistData!$A$2:$A$181,A13,DistData!$N$2:$N$181)</f>
        <v/>
      </c>
      <c r="F13" s="11">
        <f>AVERAGEIF(DistData!$A$2:$A$181,A13,DistData!$O$2:$O$181)</f>
        <v/>
      </c>
      <c r="G13" s="2">
        <f>IF(D13&lt;0.06,"Below benchmark",IF(D13&lt;=0.08,"On target","Strong"))</f>
        <v/>
      </c>
      <c r="H13" s="2" t="n"/>
    </row>
    <row r="14">
      <c r="A14" s="2" t="inlineStr">
        <is>
          <t>Shivamogga Distributors</t>
        </is>
      </c>
      <c r="B14" s="2" t="inlineStr">
        <is>
          <t>Shivamogga</t>
        </is>
      </c>
      <c r="C14" s="10">
        <f>SUMIF(DistData!$A$2:$A$181,A14,DistData!$D$2:$D$181)</f>
        <v/>
      </c>
      <c r="D14" s="11">
        <f>AVERAGEIF(DistData!$A$2:$A$181,A14,DistData!$M$2:$M$181)</f>
        <v/>
      </c>
      <c r="E14" s="11">
        <f>AVERAGEIF(DistData!$A$2:$A$181,A14,DistData!$N$2:$N$181)</f>
        <v/>
      </c>
      <c r="F14" s="11">
        <f>AVERAGEIF(DistData!$A$2:$A$181,A14,DistData!$O$2:$O$181)</f>
        <v/>
      </c>
      <c r="G14" s="2">
        <f>IF(D14&lt;0.06,"Below benchmark",IF(D14&lt;=0.08,"On target","Strong"))</f>
        <v/>
      </c>
      <c r="H14" s="2" t="n"/>
    </row>
    <row r="15">
      <c r="A15" s="2" t="inlineStr">
        <is>
          <t>Tumakuru Trade Links</t>
        </is>
      </c>
      <c r="B15" s="2" t="inlineStr">
        <is>
          <t>Tumakuru</t>
        </is>
      </c>
      <c r="C15" s="10">
        <f>SUMIF(DistData!$A$2:$A$181,A15,DistData!$D$2:$D$181)</f>
        <v/>
      </c>
      <c r="D15" s="11">
        <f>AVERAGEIF(DistData!$A$2:$A$181,A15,DistData!$M$2:$M$181)</f>
        <v/>
      </c>
      <c r="E15" s="11">
        <f>AVERAGEIF(DistData!$A$2:$A$181,A15,DistData!$N$2:$N$181)</f>
        <v/>
      </c>
      <c r="F15" s="11">
        <f>AVERAGEIF(DistData!$A$2:$A$181,A15,DistData!$O$2:$O$181)</f>
        <v/>
      </c>
      <c r="G15" s="2">
        <f>IF(D15&lt;0.06,"Below benchmark",IF(D15&lt;=0.08,"On target","Strong"))</f>
        <v/>
      </c>
      <c r="H15" s="2" t="n"/>
    </row>
    <row r="16">
      <c r="A16" s="2" t="inlineStr">
        <is>
          <t>Udupi Sales Network</t>
        </is>
      </c>
      <c r="B16" s="2" t="inlineStr">
        <is>
          <t>Udupi</t>
        </is>
      </c>
      <c r="C16" s="10">
        <f>SUMIF(DistData!$A$2:$A$181,A16,DistData!$D$2:$D$181)</f>
        <v/>
      </c>
      <c r="D16" s="11">
        <f>AVERAGEIF(DistData!$A$2:$A$181,A16,DistData!$M$2:$M$181)</f>
        <v/>
      </c>
      <c r="E16" s="11">
        <f>AVERAGEIF(DistData!$A$2:$A$181,A16,DistData!$N$2:$N$181)</f>
        <v/>
      </c>
      <c r="F16" s="11">
        <f>AVERAGEIF(DistData!$A$2:$A$181,A16,DistData!$O$2:$O$181)</f>
        <v/>
      </c>
      <c r="G16" s="2">
        <f>IF(D16&lt;0.06,"Below benchmark",IF(D16&lt;=0.08,"On target","Strong"))</f>
        <v/>
      </c>
      <c r="H16" s="2" t="n"/>
    </row>
    <row r="17">
      <c r="A17" s="2" t="inlineStr">
        <is>
          <t>Ballari Distributors</t>
        </is>
      </c>
      <c r="B17" s="2" t="inlineStr">
        <is>
          <t>Ballari</t>
        </is>
      </c>
      <c r="C17" s="10">
        <f>SUMIF(DistData!$A$2:$A$181,A17,DistData!$D$2:$D$181)</f>
        <v/>
      </c>
      <c r="D17" s="11">
        <f>AVERAGEIF(DistData!$A$2:$A$181,A17,DistData!$M$2:$M$181)</f>
        <v/>
      </c>
      <c r="E17" s="11">
        <f>AVERAGEIF(DistData!$A$2:$A$181,A17,DistData!$N$2:$N$181)</f>
        <v/>
      </c>
      <c r="F17" s="11">
        <f>AVERAGEIF(DistData!$A$2:$A$181,A17,DistData!$O$2:$O$181)</f>
        <v/>
      </c>
      <c r="G17" s="2">
        <f>IF(D17&lt;0.06,"Below benchmark",IF(D17&lt;=0.08,"On target","Strong"))</f>
        <v/>
      </c>
      <c r="H17" s="2" t="n"/>
    </row>
    <row r="18">
      <c r="A18" s="2" t="inlineStr">
        <is>
          <t>Davangere Traders</t>
        </is>
      </c>
      <c r="B18" s="2" t="inlineStr">
        <is>
          <t>Davangere</t>
        </is>
      </c>
      <c r="C18" s="10">
        <f>SUMIF(DistData!$A$2:$A$181,A18,DistData!$D$2:$D$181)</f>
        <v/>
      </c>
      <c r="D18" s="11">
        <f>AVERAGEIF(DistData!$A$2:$A$181,A18,DistData!$M$2:$M$181)</f>
        <v/>
      </c>
      <c r="E18" s="11">
        <f>AVERAGEIF(DistData!$A$2:$A$181,A18,DistData!$N$2:$N$181)</f>
        <v/>
      </c>
      <c r="F18" s="11">
        <f>AVERAGEIF(DistData!$A$2:$A$181,A18,DistData!$O$2:$O$181)</f>
        <v/>
      </c>
      <c r="G18" s="2">
        <f>IF(D18&lt;0.06,"Below benchmark",IF(D18&lt;=0.08,"On target","Strong"))</f>
        <v/>
      </c>
      <c r="H18" s="2" t="n"/>
    </row>
    <row r="19">
      <c r="A19" s="2" t="inlineStr">
        <is>
          <t>Kalaburagi Agencies</t>
        </is>
      </c>
      <c r="B19" s="2" t="inlineStr">
        <is>
          <t>Kalaburagi</t>
        </is>
      </c>
      <c r="C19" s="10">
        <f>SUMIF(DistData!$A$2:$A$181,A19,DistData!$D$2:$D$181)</f>
        <v/>
      </c>
      <c r="D19" s="11">
        <f>AVERAGEIF(DistData!$A$2:$A$181,A19,DistData!$M$2:$M$181)</f>
        <v/>
      </c>
      <c r="E19" s="11">
        <f>AVERAGEIF(DistData!$A$2:$A$181,A19,DistData!$N$2:$N$181)</f>
        <v/>
      </c>
      <c r="F19" s="11">
        <f>AVERAGEIF(DistData!$A$2:$A$181,A19,DistData!$O$2:$O$181)</f>
        <v/>
      </c>
      <c r="G19" s="2">
        <f>IF(D19&lt;0.06,"Below benchmark",IF(D19&lt;=0.08,"On target","Strong"))</f>
        <v/>
      </c>
      <c r="H19" s="2" t="n"/>
    </row>
    <row r="20">
      <c r="A20" s="2" t="inlineStr">
        <is>
          <t>Hassan Wholesale</t>
        </is>
      </c>
      <c r="B20" s="2" t="inlineStr">
        <is>
          <t>Hassan</t>
        </is>
      </c>
      <c r="C20" s="10">
        <f>SUMIF(DistData!$A$2:$A$181,A20,DistData!$D$2:$D$181)</f>
        <v/>
      </c>
      <c r="D20" s="11">
        <f>AVERAGEIF(DistData!$A$2:$A$181,A20,DistData!$M$2:$M$181)</f>
        <v/>
      </c>
      <c r="E20" s="11">
        <f>AVERAGEIF(DistData!$A$2:$A$181,A20,DistData!$N$2:$N$181)</f>
        <v/>
      </c>
      <c r="F20" s="11">
        <f>AVERAGEIF(DistData!$A$2:$A$181,A20,DistData!$O$2:$O$181)</f>
        <v/>
      </c>
      <c r="G20" s="2">
        <f>IF(D20&lt;0.06,"Below benchmark",IF(D20&lt;=0.08,"On target","Strong"))</f>
        <v/>
      </c>
      <c r="H20" s="2" t="n"/>
    </row>
    <row r="21">
      <c r="A21" s="2" t="inlineStr">
        <is>
          <t>Vijayapura Distributors</t>
        </is>
      </c>
      <c r="B21" s="2" t="inlineStr">
        <is>
          <t>Vijayapura</t>
        </is>
      </c>
      <c r="C21" s="10">
        <f>SUMIF(DistData!$A$2:$A$181,A21,DistData!$D$2:$D$181)</f>
        <v/>
      </c>
      <c r="D21" s="11">
        <f>AVERAGEIF(DistData!$A$2:$A$181,A21,DistData!$M$2:$M$181)</f>
        <v/>
      </c>
      <c r="E21" s="11">
        <f>AVERAGEIF(DistData!$A$2:$A$181,A21,DistData!$N$2:$N$181)</f>
        <v/>
      </c>
      <c r="F21" s="11">
        <f>AVERAGEIF(DistData!$A$2:$A$181,A21,DistData!$O$2:$O$181)</f>
        <v/>
      </c>
      <c r="G21" s="2">
        <f>IF(D21&lt;0.06,"Below benchmark",IF(D21&lt;=0.08,"On target","Strong"))</f>
        <v/>
      </c>
      <c r="H21" s="2" t="n"/>
    </row>
    <row r="22">
      <c r="A22" s="2" t="inlineStr">
        <is>
          <t>Chikkamagaluru Supply</t>
        </is>
      </c>
      <c r="B22" s="2" t="inlineStr">
        <is>
          <t>Chikkamagaluru</t>
        </is>
      </c>
      <c r="C22" s="10">
        <f>SUMIF(DistData!$A$2:$A$181,A22,DistData!$D$2:$D$181)</f>
        <v/>
      </c>
      <c r="D22" s="11">
        <f>AVERAGEIF(DistData!$A$2:$A$181,A22,DistData!$M$2:$M$181)</f>
        <v/>
      </c>
      <c r="E22" s="11">
        <f>AVERAGEIF(DistData!$A$2:$A$181,A22,DistData!$N$2:$N$181)</f>
        <v/>
      </c>
      <c r="F22" s="11">
        <f>AVERAGEIF(DistData!$A$2:$A$181,A22,DistData!$O$2:$O$181)</f>
        <v/>
      </c>
      <c r="G22" s="2">
        <f>IF(D22&lt;0.06,"Below benchmark",IF(D22&lt;=0.08,"On target","Strong"))</f>
        <v/>
      </c>
      <c r="H22" s="2" t="n"/>
    </row>
    <row r="23">
      <c r="A23" s="2" t="inlineStr">
        <is>
          <t>Mandya Trade House</t>
        </is>
      </c>
      <c r="B23" s="2" t="inlineStr">
        <is>
          <t>Mandya</t>
        </is>
      </c>
      <c r="C23" s="10">
        <f>SUMIF(DistData!$A$2:$A$181,A23,DistData!$D$2:$D$181)</f>
        <v/>
      </c>
      <c r="D23" s="11">
        <f>AVERAGEIF(DistData!$A$2:$A$181,A23,DistData!$M$2:$M$181)</f>
        <v/>
      </c>
      <c r="E23" s="11">
        <f>AVERAGEIF(DistData!$A$2:$A$181,A23,DistData!$N$2:$N$181)</f>
        <v/>
      </c>
      <c r="F23" s="11">
        <f>AVERAGEIF(DistData!$A$2:$A$181,A23,DistData!$O$2:$O$181)</f>
        <v/>
      </c>
      <c r="G23" s="2">
        <f>IF(D23&lt;0.06,"Below benchmark",IF(D23&lt;=0.08,"On target","Strong"))</f>
        <v/>
      </c>
      <c r="H23" s="2" t="n"/>
    </row>
    <row r="24">
      <c r="A24" s="2" t="n"/>
      <c r="B24" s="2" t="n"/>
      <c r="C24" s="2" t="n"/>
      <c r="D24" s="2" t="n"/>
      <c r="E24" s="2" t="n"/>
      <c r="F24" s="2" t="n"/>
      <c r="G24" s="2" t="n"/>
      <c r="H24" s="2" t="n"/>
    </row>
    <row r="25">
      <c r="A25" s="2" t="n"/>
      <c r="B25" s="2" t="n"/>
      <c r="C25" s="2" t="n"/>
      <c r="D25" s="2" t="n"/>
      <c r="E25" s="2" t="n"/>
      <c r="F25" s="2" t="n"/>
      <c r="G25" s="2" t="n"/>
      <c r="H25" s="2" t="n"/>
    </row>
    <row r="26">
      <c r="A26" s="8" t="inlineStr">
        <is>
          <t>Monthly Sales Trend</t>
        </is>
      </c>
      <c r="B26" s="2" t="n"/>
      <c r="C26" s="2" t="n"/>
      <c r="D26" s="2" t="n"/>
      <c r="E26" s="2" t="n"/>
      <c r="F26" s="2" t="n"/>
      <c r="G26" s="2" t="n"/>
      <c r="H26" s="2" t="n"/>
    </row>
    <row r="27">
      <c r="A27" s="9" t="inlineStr">
        <is>
          <t>Month</t>
        </is>
      </c>
      <c r="B27" s="9" t="inlineStr">
        <is>
          <t>Primary Sales (₹)</t>
        </is>
      </c>
      <c r="C27" s="9" t="inlineStr">
        <is>
          <t>Secondary Sales (₹)</t>
        </is>
      </c>
      <c r="D27" s="2" t="n"/>
      <c r="E27" s="2" t="n"/>
      <c r="F27" s="2" t="n"/>
      <c r="G27" s="2" t="n"/>
      <c r="H27" s="2" t="n"/>
    </row>
    <row r="28">
      <c r="A28" s="12" t="n">
        <v>45748</v>
      </c>
      <c r="B28" s="10">
        <f>SUMIFS(DistData!$D$2:$D$181,DistData!$C$2:$C$181,A28)</f>
        <v/>
      </c>
      <c r="C28" s="10">
        <f>SUMIFS(DistData!$E$2:$E$181,DistData!$C$2:$C$181,A28)</f>
        <v/>
      </c>
      <c r="D28" s="2" t="n"/>
      <c r="E28" s="2" t="n"/>
      <c r="F28" s="2" t="n"/>
      <c r="G28" s="2" t="n"/>
      <c r="H28" s="2" t="n"/>
    </row>
    <row r="29">
      <c r="A29" s="12" t="n">
        <v>45778</v>
      </c>
      <c r="B29" s="10">
        <f>SUMIFS(DistData!$D$2:$D$181,DistData!$C$2:$C$181,A29)</f>
        <v/>
      </c>
      <c r="C29" s="10">
        <f>SUMIFS(DistData!$E$2:$E$181,DistData!$C$2:$C$181,A29)</f>
        <v/>
      </c>
      <c r="D29" s="2" t="n"/>
      <c r="E29" s="2" t="n"/>
      <c r="F29" s="2" t="n"/>
      <c r="G29" s="2" t="n"/>
      <c r="H29" s="2" t="n"/>
    </row>
    <row r="30">
      <c r="A30" s="12" t="n">
        <v>45809</v>
      </c>
      <c r="B30" s="10">
        <f>SUMIFS(DistData!$D$2:$D$181,DistData!$C$2:$C$181,A30)</f>
        <v/>
      </c>
      <c r="C30" s="10">
        <f>SUMIFS(DistData!$E$2:$E$181,DistData!$C$2:$C$181,A30)</f>
        <v/>
      </c>
      <c r="D30" s="2" t="n"/>
      <c r="E30" s="2" t="n"/>
      <c r="F30" s="2" t="n"/>
      <c r="G30" s="2" t="n"/>
      <c r="H30" s="2" t="n"/>
    </row>
    <row r="31">
      <c r="A31" s="12" t="n">
        <v>45839</v>
      </c>
      <c r="B31" s="10">
        <f>SUMIFS(DistData!$D$2:$D$181,DistData!$C$2:$C$181,A31)</f>
        <v/>
      </c>
      <c r="C31" s="10">
        <f>SUMIFS(DistData!$E$2:$E$181,DistData!$C$2:$C$181,A31)</f>
        <v/>
      </c>
      <c r="D31" s="2" t="n"/>
      <c r="E31" s="2" t="n"/>
      <c r="F31" s="2" t="n"/>
      <c r="G31" s="2" t="n"/>
      <c r="H31" s="2" t="n"/>
    </row>
    <row r="32">
      <c r="A32" s="12" t="n">
        <v>45870</v>
      </c>
      <c r="B32" s="10">
        <f>SUMIFS(DistData!$D$2:$D$181,DistData!$C$2:$C$181,A32)</f>
        <v/>
      </c>
      <c r="C32" s="10">
        <f>SUMIFS(DistData!$E$2:$E$181,DistData!$C$2:$C$181,A32)</f>
        <v/>
      </c>
      <c r="D32" s="2" t="n"/>
      <c r="E32" s="2" t="n"/>
      <c r="F32" s="2" t="n"/>
      <c r="G32" s="2" t="n"/>
      <c r="H32" s="2" t="n"/>
    </row>
    <row r="33">
      <c r="A33" s="12" t="n">
        <v>45901</v>
      </c>
      <c r="B33" s="10">
        <f>SUMIFS(DistData!$D$2:$D$181,DistData!$C$2:$C$181,A33)</f>
        <v/>
      </c>
      <c r="C33" s="10">
        <f>SUMIFS(DistData!$E$2:$E$181,DistData!$C$2:$C$181,A33)</f>
        <v/>
      </c>
      <c r="D33" s="2" t="n"/>
      <c r="E33" s="2" t="n"/>
      <c r="F33" s="2" t="n"/>
      <c r="G33" s="2" t="n"/>
      <c r="H33" s="2" t="n"/>
    </row>
    <row r="34">
      <c r="A34" s="12" t="n">
        <v>45931</v>
      </c>
      <c r="B34" s="10">
        <f>SUMIFS(DistData!$D$2:$D$181,DistData!$C$2:$C$181,A34)</f>
        <v/>
      </c>
      <c r="C34" s="10">
        <f>SUMIFS(DistData!$E$2:$E$181,DistData!$C$2:$C$181,A34)</f>
        <v/>
      </c>
      <c r="D34" s="2" t="n"/>
      <c r="E34" s="2" t="n"/>
      <c r="F34" s="2" t="n"/>
      <c r="G34" s="2" t="n"/>
      <c r="H34" s="2" t="n"/>
    </row>
    <row r="35">
      <c r="A35" s="12" t="n">
        <v>45962</v>
      </c>
      <c r="B35" s="10">
        <f>SUMIFS(DistData!$D$2:$D$181,DistData!$C$2:$C$181,A35)</f>
        <v/>
      </c>
      <c r="C35" s="10">
        <f>SUMIFS(DistData!$E$2:$E$181,DistData!$C$2:$C$181,A35)</f>
        <v/>
      </c>
      <c r="D35" s="2" t="n"/>
      <c r="E35" s="2" t="n"/>
      <c r="F35" s="2" t="n"/>
      <c r="G35" s="2" t="n"/>
      <c r="H35" s="2" t="n"/>
    </row>
    <row r="36">
      <c r="A36" s="12" t="n">
        <v>45992</v>
      </c>
      <c r="B36" s="10">
        <f>SUMIFS(DistData!$D$2:$D$181,DistData!$C$2:$C$181,A36)</f>
        <v/>
      </c>
      <c r="C36" s="10">
        <f>SUMIFS(DistData!$E$2:$E$181,DistData!$C$2:$C$181,A36)</f>
        <v/>
      </c>
      <c r="D36" s="2" t="n"/>
      <c r="E36" s="2" t="n"/>
      <c r="F36" s="2" t="n"/>
      <c r="G36" s="2" t="n"/>
      <c r="H36" s="2" t="n"/>
    </row>
    <row r="37">
      <c r="A37" s="12" t="n">
        <v>46023</v>
      </c>
      <c r="B37" s="10">
        <f>SUMIFS(DistData!$D$2:$D$181,DistData!$C$2:$C$181,A37)</f>
        <v/>
      </c>
      <c r="C37" s="10">
        <f>SUMIFS(DistData!$E$2:$E$181,DistData!$C$2:$C$181,A37)</f>
        <v/>
      </c>
      <c r="D37" s="2" t="n"/>
      <c r="E37" s="2" t="n"/>
      <c r="F37" s="2" t="n"/>
      <c r="G37" s="2" t="n"/>
      <c r="H37" s="2" t="n"/>
    </row>
    <row r="38">
      <c r="A38" s="12" t="n">
        <v>46054</v>
      </c>
      <c r="B38" s="10">
        <f>SUMIFS(DistData!$D$2:$D$181,DistData!$C$2:$C$181,A38)</f>
        <v/>
      </c>
      <c r="C38" s="10">
        <f>SUMIFS(DistData!$E$2:$E$181,DistData!$C$2:$C$181,A38)</f>
        <v/>
      </c>
      <c r="D38" s="2" t="n"/>
      <c r="E38" s="2" t="n"/>
      <c r="F38" s="2" t="n"/>
      <c r="G38" s="2" t="n"/>
      <c r="H38" s="2" t="n"/>
    </row>
    <row r="39">
      <c r="A39" s="12" t="n">
        <v>46082</v>
      </c>
      <c r="B39" s="10">
        <f>SUMIFS(DistData!$D$2:$D$181,DistData!$C$2:$C$181,A39)</f>
        <v/>
      </c>
      <c r="C39" s="10">
        <f>SUMIFS(DistData!$E$2:$E$181,DistData!$C$2:$C$181,A39)</f>
        <v/>
      </c>
      <c r="D39" s="2" t="n"/>
      <c r="E39" s="2" t="n"/>
      <c r="F39" s="2" t="n"/>
      <c r="G39" s="2" t="n"/>
      <c r="H39" s="2" t="n"/>
    </row>
    <row r="40">
      <c r="A40" s="2" t="n"/>
      <c r="B40" s="2" t="n"/>
      <c r="C40" s="2" t="n"/>
      <c r="D40" s="2" t="n"/>
      <c r="E40" s="2" t="n"/>
      <c r="F40" s="2" t="n"/>
      <c r="G40" s="2" t="n"/>
      <c r="H40" s="2" t="n"/>
    </row>
    <row r="41">
      <c r="A41" s="2" t="n"/>
      <c r="B41" s="2" t="n"/>
      <c r="C41" s="2" t="n"/>
      <c r="D41" s="2" t="n"/>
      <c r="E41" s="2" t="n"/>
      <c r="F41" s="2" t="n"/>
      <c r="G41" s="2" t="n"/>
      <c r="H41" s="2" t="n"/>
    </row>
    <row r="42">
      <c r="A42" s="8" t="inlineStr">
        <is>
          <t>Findings (validate after opening in Excel)</t>
        </is>
      </c>
      <c r="B42" s="2" t="n"/>
      <c r="C42" s="2" t="n"/>
      <c r="D42" s="2" t="n"/>
      <c r="E42" s="2" t="n"/>
      <c r="F42" s="2" t="n"/>
      <c r="G42" s="2" t="n"/>
      <c r="H42" s="2" t="n"/>
    </row>
    <row r="43">
      <c r="A43" s="13" t="inlineStr">
        <is>
          <t>Review the distributor summary for the lowest profitability and claim settlement rates. Investigate high operating costs, lower secondary sales versus primary sales, and delayed scheme claim settlement. All records are simulated; replace this text with findings from the workbook's actual calculated results.</t>
        </is>
      </c>
      <c r="B43" s="2" t="n"/>
      <c r="C43" s="2" t="n"/>
      <c r="D43" s="2" t="n"/>
      <c r="E43" s="2" t="n"/>
      <c r="F43" s="2" t="n"/>
      <c r="G43" s="2" t="n"/>
      <c r="H43" s="2" t="n"/>
    </row>
    <row r="44">
      <c r="A44" s="2" t="n"/>
      <c r="B44" s="2" t="n"/>
      <c r="C44" s="2" t="n"/>
      <c r="D44" s="2" t="n"/>
      <c r="E44" s="2" t="n"/>
      <c r="F44" s="2" t="n"/>
      <c r="G44" s="2" t="n"/>
      <c r="H44" s="2" t="n"/>
    </row>
    <row r="45">
      <c r="A45" s="2" t="n"/>
      <c r="B45" s="2" t="n"/>
      <c r="C45" s="2" t="n"/>
      <c r="D45" s="2" t="n"/>
      <c r="E45" s="2" t="n"/>
      <c r="F45" s="2" t="n"/>
      <c r="G45" s="2" t="n"/>
      <c r="H45" s="2" t="n"/>
    </row>
  </sheetData>
  <mergeCells count="3">
    <mergeCell ref="A43:H45"/>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81"/>
  <sheetViews>
    <sheetView workbookViewId="0">
      <pane ySplit="1" topLeftCell="A2" activePane="bottomLeft" state="frozen"/>
      <selection pane="bottomLeft" activeCell="A1" sqref="A1"/>
    </sheetView>
  </sheetViews>
  <sheetFormatPr baseColWidth="8" defaultRowHeight="15"/>
  <cols>
    <col width="27" customWidth="1" min="1" max="1"/>
    <col width="20" customWidth="1" min="2" max="2"/>
    <col width="14" customWidth="1" min="3" max="3"/>
    <col width="19" customWidth="1" min="4" max="4"/>
    <col width="21" customWidth="1" min="5" max="5"/>
    <col width="12" customWidth="1" min="6" max="6"/>
    <col width="24" customWidth="1" min="7" max="7"/>
    <col width="25" customWidth="1" min="8" max="8"/>
    <col width="20" customWidth="1" min="9" max="9"/>
    <col width="18" customWidth="1" min="10" max="10"/>
    <col width="18" customWidth="1" min="11" max="11"/>
    <col width="18" customWidth="1" min="12" max="12"/>
    <col width="17" customWidth="1" min="13" max="13"/>
    <col width="20" customWidth="1" min="14" max="14"/>
    <col width="20" customWidth="1" min="15" max="15"/>
    <col width="28" customWidth="1" min="16" max="16"/>
    <col width="20" customWidth="1" min="17" max="17"/>
  </cols>
  <sheetData>
    <row r="1" ht="36" customHeight="1">
      <c r="A1" s="14" t="inlineStr">
        <is>
          <t>Distributor</t>
        </is>
      </c>
      <c r="B1" s="14" t="inlineStr">
        <is>
          <t>Region / Town</t>
        </is>
      </c>
      <c r="C1" s="14" t="inlineStr">
        <is>
          <t>Month</t>
        </is>
      </c>
      <c r="D1" s="14" t="inlineStr">
        <is>
          <t>Primary Sales (₹)</t>
        </is>
      </c>
      <c r="E1" s="14" t="inlineStr">
        <is>
          <t>Secondary Sales (₹)</t>
        </is>
      </c>
      <c r="F1" s="14" t="inlineStr">
        <is>
          <t>Margin %</t>
        </is>
      </c>
      <c r="G1" s="14" t="inlineStr">
        <is>
          <t>Scheme Claims Raised (₹)</t>
        </is>
      </c>
      <c r="H1" s="14" t="inlineStr">
        <is>
          <t>Scheme Claims Settled (₹)</t>
        </is>
      </c>
      <c r="I1" s="14" t="inlineStr">
        <is>
          <t>Operating Cost (₹)</t>
        </is>
      </c>
      <c r="J1" s="14" t="inlineStr">
        <is>
          <t>Investment (₹)</t>
        </is>
      </c>
      <c r="K1" s="14" t="inlineStr">
        <is>
          <t>Gross Margin (₹)</t>
        </is>
      </c>
      <c r="L1" s="14" t="inlineStr">
        <is>
          <t>Net Profit (₹)</t>
        </is>
      </c>
      <c r="M1" s="14" t="inlineStr">
        <is>
          <t>Profitability %</t>
        </is>
      </c>
      <c r="N1" s="14" t="inlineStr">
        <is>
          <t>ROI % (annualised)</t>
        </is>
      </c>
      <c r="O1" s="14" t="inlineStr">
        <is>
          <t>Claim Settlement %</t>
        </is>
      </c>
      <c r="P1" s="14" t="inlineStr">
        <is>
          <t>Primary vs Secondary Gap (₹)</t>
        </is>
      </c>
      <c r="Q1" s="14" t="inlineStr">
        <is>
          <t>Flag</t>
        </is>
      </c>
    </row>
    <row r="2">
      <c r="A2" t="inlineStr">
        <is>
          <t>Hubli Traders</t>
        </is>
      </c>
      <c r="B2" t="inlineStr">
        <is>
          <t>Hubli</t>
        </is>
      </c>
      <c r="C2" s="15" t="n">
        <v>45748</v>
      </c>
      <c r="D2" s="16" t="n">
        <v>966739</v>
      </c>
      <c r="E2" s="16" t="n">
        <v>795629</v>
      </c>
      <c r="F2" s="17" t="n">
        <v>0.05025010755222667</v>
      </c>
      <c r="G2" s="16" t="n">
        <v>52314</v>
      </c>
      <c r="H2" s="16" t="n">
        <v>23431</v>
      </c>
      <c r="I2" s="16" t="n">
        <v>68358</v>
      </c>
      <c r="J2" s="16" t="n">
        <v>985929</v>
      </c>
      <c r="K2" s="16">
        <f>D2*F2</f>
        <v/>
      </c>
      <c r="L2" s="16">
        <f>K2+H2-I2</f>
        <v/>
      </c>
      <c r="M2" s="17">
        <f>IFERROR(L2/D2,0)</f>
        <v/>
      </c>
      <c r="N2" s="17">
        <f>IFERROR((L2*12)/J2,0)</f>
        <v/>
      </c>
      <c r="O2" s="17">
        <f>IFERROR(H2/G2,0)</f>
        <v/>
      </c>
      <c r="P2" s="16">
        <f>D2-E2</f>
        <v/>
      </c>
      <c r="Q2">
        <f>IF(M2&lt;0.06,"Below benchmark",IF(M2&lt;=0.08,"On target","Strong"))</f>
        <v/>
      </c>
    </row>
    <row r="3">
      <c r="A3" t="inlineStr">
        <is>
          <t>Hubli Traders</t>
        </is>
      </c>
      <c r="B3" t="inlineStr">
        <is>
          <t>Hubli</t>
        </is>
      </c>
      <c r="C3" s="15" t="n">
        <v>45778</v>
      </c>
      <c r="D3" s="16" t="n">
        <v>941161</v>
      </c>
      <c r="E3" s="16" t="n">
        <v>747106</v>
      </c>
      <c r="F3" s="17" t="n">
        <v>0.0559049251244904</v>
      </c>
      <c r="G3" s="16" t="n">
        <v>48070</v>
      </c>
      <c r="H3" s="16" t="n">
        <v>22291</v>
      </c>
      <c r="I3" s="16" t="n">
        <v>81559</v>
      </c>
      <c r="J3" s="16" t="n">
        <v>713912</v>
      </c>
      <c r="K3" s="16">
        <f>D3*F3</f>
        <v/>
      </c>
      <c r="L3" s="16">
        <f>K3+H3-I3</f>
        <v/>
      </c>
      <c r="M3" s="17">
        <f>IFERROR(L3/D3,0)</f>
        <v/>
      </c>
      <c r="N3" s="17">
        <f>IFERROR((L3*12)/J3,0)</f>
        <v/>
      </c>
      <c r="O3" s="17">
        <f>IFERROR(H3/G3,0)</f>
        <v/>
      </c>
      <c r="P3" s="16">
        <f>D3-E3</f>
        <v/>
      </c>
      <c r="Q3">
        <f>IF(M3&lt;0.06,"Below benchmark",IF(M3&lt;=0.08,"On target","Strong"))</f>
        <v/>
      </c>
    </row>
    <row r="4">
      <c r="A4" t="inlineStr">
        <is>
          <t>Hubli Traders</t>
        </is>
      </c>
      <c r="B4" t="inlineStr">
        <is>
          <t>Hubli</t>
        </is>
      </c>
      <c r="C4" s="15" t="n">
        <v>45809</v>
      </c>
      <c r="D4" s="16" t="n">
        <v>1438508</v>
      </c>
      <c r="E4" s="16" t="n">
        <v>1248604</v>
      </c>
      <c r="F4" s="17" t="n">
        <v>0.05198837650686649</v>
      </c>
      <c r="G4" s="16" t="n">
        <v>62856</v>
      </c>
      <c r="H4" s="16" t="n">
        <v>31673</v>
      </c>
      <c r="I4" s="16" t="n">
        <v>79719</v>
      </c>
      <c r="J4" s="16" t="n">
        <v>845852</v>
      </c>
      <c r="K4" s="16">
        <f>D4*F4</f>
        <v/>
      </c>
      <c r="L4" s="16">
        <f>K4+H4-I4</f>
        <v/>
      </c>
      <c r="M4" s="17">
        <f>IFERROR(L4/D4,0)</f>
        <v/>
      </c>
      <c r="N4" s="17">
        <f>IFERROR((L4*12)/J4,0)</f>
        <v/>
      </c>
      <c r="O4" s="17">
        <f>IFERROR(H4/G4,0)</f>
        <v/>
      </c>
      <c r="P4" s="16">
        <f>D4-E4</f>
        <v/>
      </c>
      <c r="Q4">
        <f>IF(M4&lt;0.06,"Below benchmark",IF(M4&lt;=0.08,"On target","Strong"))</f>
        <v/>
      </c>
    </row>
    <row r="5">
      <c r="A5" t="inlineStr">
        <is>
          <t>Hubli Traders</t>
        </is>
      </c>
      <c r="B5" t="inlineStr">
        <is>
          <t>Hubli</t>
        </is>
      </c>
      <c r="C5" s="15" t="n">
        <v>45839</v>
      </c>
      <c r="D5" s="16" t="n">
        <v>856814</v>
      </c>
      <c r="E5" s="16" t="n">
        <v>693298</v>
      </c>
      <c r="F5" s="17" t="n">
        <v>0.05758807367129767</v>
      </c>
      <c r="G5" s="16" t="n">
        <v>58848</v>
      </c>
      <c r="H5" s="16" t="n">
        <v>28720</v>
      </c>
      <c r="I5" s="16" t="n">
        <v>70094</v>
      </c>
      <c r="J5" s="16" t="n">
        <v>812886</v>
      </c>
      <c r="K5" s="16">
        <f>D5*F5</f>
        <v/>
      </c>
      <c r="L5" s="16">
        <f>K5+H5-I5</f>
        <v/>
      </c>
      <c r="M5" s="17">
        <f>IFERROR(L5/D5,0)</f>
        <v/>
      </c>
      <c r="N5" s="17">
        <f>IFERROR((L5*12)/J5,0)</f>
        <v/>
      </c>
      <c r="O5" s="17">
        <f>IFERROR(H5/G5,0)</f>
        <v/>
      </c>
      <c r="P5" s="16">
        <f>D5-E5</f>
        <v/>
      </c>
      <c r="Q5">
        <f>IF(M5&lt;0.06,"Below benchmark",IF(M5&lt;=0.08,"On target","Strong"))</f>
        <v/>
      </c>
    </row>
    <row r="6">
      <c r="A6" t="inlineStr">
        <is>
          <t>Hubli Traders</t>
        </is>
      </c>
      <c r="B6" t="inlineStr">
        <is>
          <t>Hubli</t>
        </is>
      </c>
      <c r="C6" s="15" t="n">
        <v>45870</v>
      </c>
      <c r="D6" s="16" t="n">
        <v>1202944</v>
      </c>
      <c r="E6" s="16" t="n">
        <v>1005169</v>
      </c>
      <c r="F6" s="17" t="n">
        <v>0.05102210276519849</v>
      </c>
      <c r="G6" s="16" t="n">
        <v>56763</v>
      </c>
      <c r="H6" s="16" t="n">
        <v>33461</v>
      </c>
      <c r="I6" s="16" t="n">
        <v>84782</v>
      </c>
      <c r="J6" s="16" t="n">
        <v>838685</v>
      </c>
      <c r="K6" s="16">
        <f>D6*F6</f>
        <v/>
      </c>
      <c r="L6" s="16">
        <f>K6+H6-I6</f>
        <v/>
      </c>
      <c r="M6" s="17">
        <f>IFERROR(L6/D6,0)</f>
        <v/>
      </c>
      <c r="N6" s="17">
        <f>IFERROR((L6*12)/J6,0)</f>
        <v/>
      </c>
      <c r="O6" s="17">
        <f>IFERROR(H6/G6,0)</f>
        <v/>
      </c>
      <c r="P6" s="16">
        <f>D6-E6</f>
        <v/>
      </c>
      <c r="Q6">
        <f>IF(M6&lt;0.06,"Below benchmark",IF(M6&lt;=0.08,"On target","Strong"))</f>
        <v/>
      </c>
    </row>
    <row r="7">
      <c r="A7" t="inlineStr">
        <is>
          <t>Hubli Traders</t>
        </is>
      </c>
      <c r="B7" t="inlineStr">
        <is>
          <t>Hubli</t>
        </is>
      </c>
      <c r="C7" s="15" t="n">
        <v>45901</v>
      </c>
      <c r="D7" s="16" t="n">
        <v>895561</v>
      </c>
      <c r="E7" s="16" t="n">
        <v>765120</v>
      </c>
      <c r="F7" s="17" t="n">
        <v>0.05729731786693817</v>
      </c>
      <c r="G7" s="16" t="n">
        <v>57403</v>
      </c>
      <c r="H7" s="16" t="n">
        <v>25013</v>
      </c>
      <c r="I7" s="16" t="n">
        <v>74606</v>
      </c>
      <c r="J7" s="16" t="n">
        <v>889600</v>
      </c>
      <c r="K7" s="16">
        <f>D7*F7</f>
        <v/>
      </c>
      <c r="L7" s="16">
        <f>K7+H7-I7</f>
        <v/>
      </c>
      <c r="M7" s="17">
        <f>IFERROR(L7/D7,0)</f>
        <v/>
      </c>
      <c r="N7" s="17">
        <f>IFERROR((L7*12)/J7,0)</f>
        <v/>
      </c>
      <c r="O7" s="17">
        <f>IFERROR(H7/G7,0)</f>
        <v/>
      </c>
      <c r="P7" s="16">
        <f>D7-E7</f>
        <v/>
      </c>
      <c r="Q7">
        <f>IF(M7&lt;0.06,"Below benchmark",IF(M7&lt;=0.08,"On target","Strong"))</f>
        <v/>
      </c>
    </row>
    <row r="8">
      <c r="A8" t="inlineStr">
        <is>
          <t>Hubli Traders</t>
        </is>
      </c>
      <c r="B8" t="inlineStr">
        <is>
          <t>Hubli</t>
        </is>
      </c>
      <c r="C8" s="15" t="n">
        <v>45931</v>
      </c>
      <c r="D8" s="16" t="n">
        <v>1051629</v>
      </c>
      <c r="E8" s="16" t="n">
        <v>836569</v>
      </c>
      <c r="F8" s="17" t="n">
        <v>0.05704571836214924</v>
      </c>
      <c r="G8" s="16" t="n">
        <v>52467</v>
      </c>
      <c r="H8" s="16" t="n">
        <v>30148</v>
      </c>
      <c r="I8" s="16" t="n">
        <v>67614</v>
      </c>
      <c r="J8" s="16" t="n">
        <v>822049</v>
      </c>
      <c r="K8" s="16">
        <f>D8*F8</f>
        <v/>
      </c>
      <c r="L8" s="16">
        <f>K8+H8-I8</f>
        <v/>
      </c>
      <c r="M8" s="17">
        <f>IFERROR(L8/D8,0)</f>
        <v/>
      </c>
      <c r="N8" s="17">
        <f>IFERROR((L8*12)/J8,0)</f>
        <v/>
      </c>
      <c r="O8" s="17">
        <f>IFERROR(H8/G8,0)</f>
        <v/>
      </c>
      <c r="P8" s="16">
        <f>D8-E8</f>
        <v/>
      </c>
      <c r="Q8">
        <f>IF(M8&lt;0.06,"Below benchmark",IF(M8&lt;=0.08,"On target","Strong"))</f>
        <v/>
      </c>
    </row>
    <row r="9">
      <c r="A9" t="inlineStr">
        <is>
          <t>Hubli Traders</t>
        </is>
      </c>
      <c r="B9" t="inlineStr">
        <is>
          <t>Hubli</t>
        </is>
      </c>
      <c r="C9" s="15" t="n">
        <v>45962</v>
      </c>
      <c r="D9" s="16" t="n">
        <v>955907</v>
      </c>
      <c r="E9" s="16" t="n">
        <v>807176</v>
      </c>
      <c r="F9" s="17" t="n">
        <v>0.05380126225039166</v>
      </c>
      <c r="G9" s="16" t="n">
        <v>72332</v>
      </c>
      <c r="H9" s="16" t="n">
        <v>35657</v>
      </c>
      <c r="I9" s="16" t="n">
        <v>77130</v>
      </c>
      <c r="J9" s="16" t="n">
        <v>886264</v>
      </c>
      <c r="K9" s="16">
        <f>D9*F9</f>
        <v/>
      </c>
      <c r="L9" s="16">
        <f>K9+H9-I9</f>
        <v/>
      </c>
      <c r="M9" s="17">
        <f>IFERROR(L9/D9,0)</f>
        <v/>
      </c>
      <c r="N9" s="17">
        <f>IFERROR((L9*12)/J9,0)</f>
        <v/>
      </c>
      <c r="O9" s="17">
        <f>IFERROR(H9/G9,0)</f>
        <v/>
      </c>
      <c r="P9" s="16">
        <f>D9-E9</f>
        <v/>
      </c>
      <c r="Q9">
        <f>IF(M9&lt;0.06,"Below benchmark",IF(M9&lt;=0.08,"On target","Strong"))</f>
        <v/>
      </c>
    </row>
    <row r="10">
      <c r="A10" t="inlineStr">
        <is>
          <t>Hubli Traders</t>
        </is>
      </c>
      <c r="B10" t="inlineStr">
        <is>
          <t>Hubli</t>
        </is>
      </c>
      <c r="C10" s="15" t="n">
        <v>45992</v>
      </c>
      <c r="D10" s="16" t="n">
        <v>1069684</v>
      </c>
      <c r="E10" s="16" t="n">
        <v>935137</v>
      </c>
      <c r="F10" s="17" t="n">
        <v>0.05670175174377693</v>
      </c>
      <c r="G10" s="16" t="n">
        <v>67398</v>
      </c>
      <c r="H10" s="16" t="n">
        <v>37042</v>
      </c>
      <c r="I10" s="16" t="n">
        <v>84960</v>
      </c>
      <c r="J10" s="16" t="n">
        <v>789725</v>
      </c>
      <c r="K10" s="16">
        <f>D10*F10</f>
        <v/>
      </c>
      <c r="L10" s="16">
        <f>K10+H10-I10</f>
        <v/>
      </c>
      <c r="M10" s="17">
        <f>IFERROR(L10/D10,0)</f>
        <v/>
      </c>
      <c r="N10" s="17">
        <f>IFERROR((L10*12)/J10,0)</f>
        <v/>
      </c>
      <c r="O10" s="17">
        <f>IFERROR(H10/G10,0)</f>
        <v/>
      </c>
      <c r="P10" s="16">
        <f>D10-E10</f>
        <v/>
      </c>
      <c r="Q10">
        <f>IF(M10&lt;0.06,"Below benchmark",IF(M10&lt;=0.08,"On target","Strong"))</f>
        <v/>
      </c>
    </row>
    <row r="11">
      <c r="A11" t="inlineStr">
        <is>
          <t>Hubli Traders</t>
        </is>
      </c>
      <c r="B11" t="inlineStr">
        <is>
          <t>Hubli</t>
        </is>
      </c>
      <c r="C11" s="15" t="n">
        <v>46023</v>
      </c>
      <c r="D11" s="16" t="n">
        <v>1410086</v>
      </c>
      <c r="E11" s="16" t="n">
        <v>1141617</v>
      </c>
      <c r="F11" s="17" t="n">
        <v>0.05729126797950349</v>
      </c>
      <c r="G11" s="16" t="n">
        <v>57433</v>
      </c>
      <c r="H11" s="16" t="n">
        <v>27222</v>
      </c>
      <c r="I11" s="16" t="n">
        <v>85971</v>
      </c>
      <c r="J11" s="16" t="n">
        <v>992002</v>
      </c>
      <c r="K11" s="16">
        <f>D11*F11</f>
        <v/>
      </c>
      <c r="L11" s="16">
        <f>K11+H11-I11</f>
        <v/>
      </c>
      <c r="M11" s="17">
        <f>IFERROR(L11/D11,0)</f>
        <v/>
      </c>
      <c r="N11" s="17">
        <f>IFERROR((L11*12)/J11,0)</f>
        <v/>
      </c>
      <c r="O11" s="17">
        <f>IFERROR(H11/G11,0)</f>
        <v/>
      </c>
      <c r="P11" s="16">
        <f>D11-E11</f>
        <v/>
      </c>
      <c r="Q11">
        <f>IF(M11&lt;0.06,"Below benchmark",IF(M11&lt;=0.08,"On target","Strong"))</f>
        <v/>
      </c>
    </row>
    <row r="12">
      <c r="A12" t="inlineStr">
        <is>
          <t>Hubli Traders</t>
        </is>
      </c>
      <c r="B12" t="inlineStr">
        <is>
          <t>Hubli</t>
        </is>
      </c>
      <c r="C12" s="15" t="n">
        <v>46054</v>
      </c>
      <c r="D12" s="16" t="n">
        <v>1080283</v>
      </c>
      <c r="E12" s="16" t="n">
        <v>962685</v>
      </c>
      <c r="F12" s="17" t="n">
        <v>0.05684614250989874</v>
      </c>
      <c r="G12" s="16" t="n">
        <v>70427</v>
      </c>
      <c r="H12" s="16" t="n">
        <v>30367</v>
      </c>
      <c r="I12" s="16" t="n">
        <v>91928</v>
      </c>
      <c r="J12" s="16" t="n">
        <v>716829</v>
      </c>
      <c r="K12" s="16">
        <f>D12*F12</f>
        <v/>
      </c>
      <c r="L12" s="16">
        <f>K12+H12-I12</f>
        <v/>
      </c>
      <c r="M12" s="17">
        <f>IFERROR(L12/D12,0)</f>
        <v/>
      </c>
      <c r="N12" s="17">
        <f>IFERROR((L12*12)/J12,0)</f>
        <v/>
      </c>
      <c r="O12" s="17">
        <f>IFERROR(H12/G12,0)</f>
        <v/>
      </c>
      <c r="P12" s="16">
        <f>D12-E12</f>
        <v/>
      </c>
      <c r="Q12">
        <f>IF(M12&lt;0.06,"Below benchmark",IF(M12&lt;=0.08,"On target","Strong"))</f>
        <v/>
      </c>
    </row>
    <row r="13">
      <c r="A13" t="inlineStr">
        <is>
          <t>Hubli Traders</t>
        </is>
      </c>
      <c r="B13" t="inlineStr">
        <is>
          <t>Hubli</t>
        </is>
      </c>
      <c r="C13" s="15" t="n">
        <v>46082</v>
      </c>
      <c r="D13" s="16" t="n">
        <v>1180776</v>
      </c>
      <c r="E13" s="16" t="n">
        <v>942191</v>
      </c>
      <c r="F13" s="17" t="n">
        <v>0.05401164787022329</v>
      </c>
      <c r="G13" s="16" t="n">
        <v>74921</v>
      </c>
      <c r="H13" s="16" t="n">
        <v>45595</v>
      </c>
      <c r="I13" s="16" t="n">
        <v>93716</v>
      </c>
      <c r="J13" s="16" t="n">
        <v>864981</v>
      </c>
      <c r="K13" s="16">
        <f>D13*F13</f>
        <v/>
      </c>
      <c r="L13" s="16">
        <f>K13+H13-I13</f>
        <v/>
      </c>
      <c r="M13" s="17">
        <f>IFERROR(L13/D13,0)</f>
        <v/>
      </c>
      <c r="N13" s="17">
        <f>IFERROR((L13*12)/J13,0)</f>
        <v/>
      </c>
      <c r="O13" s="17">
        <f>IFERROR(H13/G13,0)</f>
        <v/>
      </c>
      <c r="P13" s="16">
        <f>D13-E13</f>
        <v/>
      </c>
      <c r="Q13">
        <f>IF(M13&lt;0.06,"Below benchmark",IF(M13&lt;=0.08,"On target","Strong"))</f>
        <v/>
      </c>
    </row>
    <row r="14">
      <c r="A14" t="inlineStr">
        <is>
          <t>Belagavi Distributors</t>
        </is>
      </c>
      <c r="B14" t="inlineStr">
        <is>
          <t>Belagavi</t>
        </is>
      </c>
      <c r="C14" s="15" t="n">
        <v>45748</v>
      </c>
      <c r="D14" s="16" t="n">
        <v>1072955</v>
      </c>
      <c r="E14" s="16" t="n">
        <v>1003864</v>
      </c>
      <c r="F14" s="17" t="n">
        <v>0.0748315799794232</v>
      </c>
      <c r="G14" s="16" t="n">
        <v>54967</v>
      </c>
      <c r="H14" s="16" t="n">
        <v>48056</v>
      </c>
      <c r="I14" s="16" t="n">
        <v>29681</v>
      </c>
      <c r="J14" s="16" t="n">
        <v>588873</v>
      </c>
      <c r="K14" s="16">
        <f>D14*F14</f>
        <v/>
      </c>
      <c r="L14" s="16">
        <f>K14+H14-I14</f>
        <v/>
      </c>
      <c r="M14" s="17">
        <f>IFERROR(L14/D14,0)</f>
        <v/>
      </c>
      <c r="N14" s="17">
        <f>IFERROR((L14*12)/J14,0)</f>
        <v/>
      </c>
      <c r="O14" s="17">
        <f>IFERROR(H14/G14,0)</f>
        <v/>
      </c>
      <c r="P14" s="16">
        <f>D14-E14</f>
        <v/>
      </c>
      <c r="Q14">
        <f>IF(M14&lt;0.06,"Below benchmark",IF(M14&lt;=0.08,"On target","Strong"))</f>
        <v/>
      </c>
    </row>
    <row r="15">
      <c r="A15" t="inlineStr">
        <is>
          <t>Belagavi Distributors</t>
        </is>
      </c>
      <c r="B15" t="inlineStr">
        <is>
          <t>Belagavi</t>
        </is>
      </c>
      <c r="C15" s="15" t="n">
        <v>45778</v>
      </c>
      <c r="D15" s="16" t="n">
        <v>996413</v>
      </c>
      <c r="E15" s="16" t="n">
        <v>947113</v>
      </c>
      <c r="F15" s="17" t="n">
        <v>0.06869941261540975</v>
      </c>
      <c r="G15" s="16" t="n">
        <v>33609</v>
      </c>
      <c r="H15" s="16" t="n">
        <v>30224</v>
      </c>
      <c r="I15" s="16" t="n">
        <v>39038</v>
      </c>
      <c r="J15" s="16" t="n">
        <v>659400</v>
      </c>
      <c r="K15" s="16">
        <f>D15*F15</f>
        <v/>
      </c>
      <c r="L15" s="16">
        <f>K15+H15-I15</f>
        <v/>
      </c>
      <c r="M15" s="17">
        <f>IFERROR(L15/D15,0)</f>
        <v/>
      </c>
      <c r="N15" s="17">
        <f>IFERROR((L15*12)/J15,0)</f>
        <v/>
      </c>
      <c r="O15" s="17">
        <f>IFERROR(H15/G15,0)</f>
        <v/>
      </c>
      <c r="P15" s="16">
        <f>D15-E15</f>
        <v/>
      </c>
      <c r="Q15">
        <f>IF(M15&lt;0.06,"Below benchmark",IF(M15&lt;=0.08,"On target","Strong"))</f>
        <v/>
      </c>
    </row>
    <row r="16">
      <c r="A16" t="inlineStr">
        <is>
          <t>Belagavi Distributors</t>
        </is>
      </c>
      <c r="B16" t="inlineStr">
        <is>
          <t>Belagavi</t>
        </is>
      </c>
      <c r="C16" s="15" t="n">
        <v>45809</v>
      </c>
      <c r="D16" s="16" t="n">
        <v>1229580</v>
      </c>
      <c r="E16" s="16" t="n">
        <v>1217011</v>
      </c>
      <c r="F16" s="17" t="n">
        <v>0.06828981138735925</v>
      </c>
      <c r="G16" s="16" t="n">
        <v>41696</v>
      </c>
      <c r="H16" s="16" t="n">
        <v>34959</v>
      </c>
      <c r="I16" s="16" t="n">
        <v>26543</v>
      </c>
      <c r="J16" s="16" t="n">
        <v>507487</v>
      </c>
      <c r="K16" s="16">
        <f>D16*F16</f>
        <v/>
      </c>
      <c r="L16" s="16">
        <f>K16+H16-I16</f>
        <v/>
      </c>
      <c r="M16" s="17">
        <f>IFERROR(L16/D16,0)</f>
        <v/>
      </c>
      <c r="N16" s="17">
        <f>IFERROR((L16*12)/J16,0)</f>
        <v/>
      </c>
      <c r="O16" s="17">
        <f>IFERROR(H16/G16,0)</f>
        <v/>
      </c>
      <c r="P16" s="16">
        <f>D16-E16</f>
        <v/>
      </c>
      <c r="Q16">
        <f>IF(M16&lt;0.06,"Below benchmark",IF(M16&lt;=0.08,"On target","Strong"))</f>
        <v/>
      </c>
    </row>
    <row r="17">
      <c r="A17" t="inlineStr">
        <is>
          <t>Belagavi Distributors</t>
        </is>
      </c>
      <c r="B17" t="inlineStr">
        <is>
          <t>Belagavi</t>
        </is>
      </c>
      <c r="C17" s="15" t="n">
        <v>45839</v>
      </c>
      <c r="D17" s="16" t="n">
        <v>1010265</v>
      </c>
      <c r="E17" s="16" t="n">
        <v>981257</v>
      </c>
      <c r="F17" s="17" t="n">
        <v>0.07441169062554635</v>
      </c>
      <c r="G17" s="16" t="n">
        <v>38833</v>
      </c>
      <c r="H17" s="16" t="n">
        <v>33518</v>
      </c>
      <c r="I17" s="16" t="n">
        <v>37608</v>
      </c>
      <c r="J17" s="16" t="n">
        <v>650078</v>
      </c>
      <c r="K17" s="16">
        <f>D17*F17</f>
        <v/>
      </c>
      <c r="L17" s="16">
        <f>K17+H17-I17</f>
        <v/>
      </c>
      <c r="M17" s="17">
        <f>IFERROR(L17/D17,0)</f>
        <v/>
      </c>
      <c r="N17" s="17">
        <f>IFERROR((L17*12)/J17,0)</f>
        <v/>
      </c>
      <c r="O17" s="17">
        <f>IFERROR(H17/G17,0)</f>
        <v/>
      </c>
      <c r="P17" s="16">
        <f>D17-E17</f>
        <v/>
      </c>
      <c r="Q17">
        <f>IF(M17&lt;0.06,"Below benchmark",IF(M17&lt;=0.08,"On target","Strong"))</f>
        <v/>
      </c>
    </row>
    <row r="18">
      <c r="A18" t="inlineStr">
        <is>
          <t>Belagavi Distributors</t>
        </is>
      </c>
      <c r="B18" t="inlineStr">
        <is>
          <t>Belagavi</t>
        </is>
      </c>
      <c r="C18" s="15" t="n">
        <v>45870</v>
      </c>
      <c r="D18" s="16" t="n">
        <v>1340785</v>
      </c>
      <c r="E18" s="16" t="n">
        <v>1323887</v>
      </c>
      <c r="F18" s="17" t="n">
        <v>0.07293671517648706</v>
      </c>
      <c r="G18" s="16" t="n">
        <v>53206</v>
      </c>
      <c r="H18" s="16" t="n">
        <v>50342</v>
      </c>
      <c r="I18" s="16" t="n">
        <v>47291</v>
      </c>
      <c r="J18" s="16" t="n">
        <v>510058</v>
      </c>
      <c r="K18" s="16">
        <f>D18*F18</f>
        <v/>
      </c>
      <c r="L18" s="16">
        <f>K18+H18-I18</f>
        <v/>
      </c>
      <c r="M18" s="17">
        <f>IFERROR(L18/D18,0)</f>
        <v/>
      </c>
      <c r="N18" s="17">
        <f>IFERROR((L18*12)/J18,0)</f>
        <v/>
      </c>
      <c r="O18" s="17">
        <f>IFERROR(H18/G18,0)</f>
        <v/>
      </c>
      <c r="P18" s="16">
        <f>D18-E18</f>
        <v/>
      </c>
      <c r="Q18">
        <f>IF(M18&lt;0.06,"Below benchmark",IF(M18&lt;=0.08,"On target","Strong"))</f>
        <v/>
      </c>
    </row>
    <row r="19">
      <c r="A19" t="inlineStr">
        <is>
          <t>Belagavi Distributors</t>
        </is>
      </c>
      <c r="B19" t="inlineStr">
        <is>
          <t>Belagavi</t>
        </is>
      </c>
      <c r="C19" s="15" t="n">
        <v>45901</v>
      </c>
      <c r="D19" s="16" t="n">
        <v>1413054</v>
      </c>
      <c r="E19" s="16" t="n">
        <v>1369495</v>
      </c>
      <c r="F19" s="17" t="n">
        <v>0.07626316699387414</v>
      </c>
      <c r="G19" s="16" t="n">
        <v>36146</v>
      </c>
      <c r="H19" s="16" t="n">
        <v>26992</v>
      </c>
      <c r="I19" s="16" t="n">
        <v>39246</v>
      </c>
      <c r="J19" s="16" t="n">
        <v>532920</v>
      </c>
      <c r="K19" s="16">
        <f>D19*F19</f>
        <v/>
      </c>
      <c r="L19" s="16">
        <f>K19+H19-I19</f>
        <v/>
      </c>
      <c r="M19" s="17">
        <f>IFERROR(L19/D19,0)</f>
        <v/>
      </c>
      <c r="N19" s="17">
        <f>IFERROR((L19*12)/J19,0)</f>
        <v/>
      </c>
      <c r="O19" s="17">
        <f>IFERROR(H19/G19,0)</f>
        <v/>
      </c>
      <c r="P19" s="16">
        <f>D19-E19</f>
        <v/>
      </c>
      <c r="Q19">
        <f>IF(M19&lt;0.06,"Below benchmark",IF(M19&lt;=0.08,"On target","Strong"))</f>
        <v/>
      </c>
    </row>
    <row r="20">
      <c r="A20" t="inlineStr">
        <is>
          <t>Belagavi Distributors</t>
        </is>
      </c>
      <c r="B20" t="inlineStr">
        <is>
          <t>Belagavi</t>
        </is>
      </c>
      <c r="C20" s="15" t="n">
        <v>45931</v>
      </c>
      <c r="D20" s="16" t="n">
        <v>1325763</v>
      </c>
      <c r="E20" s="16" t="n">
        <v>1279345</v>
      </c>
      <c r="F20" s="17" t="n">
        <v>0.06504867974152594</v>
      </c>
      <c r="G20" s="16" t="n">
        <v>48582</v>
      </c>
      <c r="H20" s="16" t="n">
        <v>38050</v>
      </c>
      <c r="I20" s="16" t="n">
        <v>41403</v>
      </c>
      <c r="J20" s="16" t="n">
        <v>543665</v>
      </c>
      <c r="K20" s="16">
        <f>D20*F20</f>
        <v/>
      </c>
      <c r="L20" s="16">
        <f>K20+H20-I20</f>
        <v/>
      </c>
      <c r="M20" s="17">
        <f>IFERROR(L20/D20,0)</f>
        <v/>
      </c>
      <c r="N20" s="17">
        <f>IFERROR((L20*12)/J20,0)</f>
        <v/>
      </c>
      <c r="O20" s="17">
        <f>IFERROR(H20/G20,0)</f>
        <v/>
      </c>
      <c r="P20" s="16">
        <f>D20-E20</f>
        <v/>
      </c>
      <c r="Q20">
        <f>IF(M20&lt;0.06,"Below benchmark",IF(M20&lt;=0.08,"On target","Strong"))</f>
        <v/>
      </c>
    </row>
    <row r="21">
      <c r="A21" t="inlineStr">
        <is>
          <t>Belagavi Distributors</t>
        </is>
      </c>
      <c r="B21" t="inlineStr">
        <is>
          <t>Belagavi</t>
        </is>
      </c>
      <c r="C21" s="15" t="n">
        <v>45962</v>
      </c>
      <c r="D21" s="16" t="n">
        <v>1382342</v>
      </c>
      <c r="E21" s="16" t="n">
        <v>1352409</v>
      </c>
      <c r="F21" s="17" t="n">
        <v>0.07868941759017231</v>
      </c>
      <c r="G21" s="16" t="n">
        <v>34779</v>
      </c>
      <c r="H21" s="16" t="n">
        <v>32066</v>
      </c>
      <c r="I21" s="16" t="n">
        <v>41635</v>
      </c>
      <c r="J21" s="16" t="n">
        <v>554286</v>
      </c>
      <c r="K21" s="16">
        <f>D21*F21</f>
        <v/>
      </c>
      <c r="L21" s="16">
        <f>K21+H21-I21</f>
        <v/>
      </c>
      <c r="M21" s="17">
        <f>IFERROR(L21/D21,0)</f>
        <v/>
      </c>
      <c r="N21" s="17">
        <f>IFERROR((L21*12)/J21,0)</f>
        <v/>
      </c>
      <c r="O21" s="17">
        <f>IFERROR(H21/G21,0)</f>
        <v/>
      </c>
      <c r="P21" s="16">
        <f>D21-E21</f>
        <v/>
      </c>
      <c r="Q21">
        <f>IF(M21&lt;0.06,"Below benchmark",IF(M21&lt;=0.08,"On target","Strong"))</f>
        <v/>
      </c>
    </row>
    <row r="22">
      <c r="A22" t="inlineStr">
        <is>
          <t>Belagavi Distributors</t>
        </is>
      </c>
      <c r="B22" t="inlineStr">
        <is>
          <t>Belagavi</t>
        </is>
      </c>
      <c r="C22" s="15" t="n">
        <v>45992</v>
      </c>
      <c r="D22" s="16" t="n">
        <v>1010263</v>
      </c>
      <c r="E22" s="16" t="n">
        <v>923925</v>
      </c>
      <c r="F22" s="17" t="n">
        <v>0.07060870778886721</v>
      </c>
      <c r="G22" s="16" t="n">
        <v>50514</v>
      </c>
      <c r="H22" s="16" t="n">
        <v>47553</v>
      </c>
      <c r="I22" s="16" t="n">
        <v>25018</v>
      </c>
      <c r="J22" s="16" t="n">
        <v>619951</v>
      </c>
      <c r="K22" s="16">
        <f>D22*F22</f>
        <v/>
      </c>
      <c r="L22" s="16">
        <f>K22+H22-I22</f>
        <v/>
      </c>
      <c r="M22" s="17">
        <f>IFERROR(L22/D22,0)</f>
        <v/>
      </c>
      <c r="N22" s="17">
        <f>IFERROR((L22*12)/J22,0)</f>
        <v/>
      </c>
      <c r="O22" s="17">
        <f>IFERROR(H22/G22,0)</f>
        <v/>
      </c>
      <c r="P22" s="16">
        <f>D22-E22</f>
        <v/>
      </c>
      <c r="Q22">
        <f>IF(M22&lt;0.06,"Below benchmark",IF(M22&lt;=0.08,"On target","Strong"))</f>
        <v/>
      </c>
    </row>
    <row r="23">
      <c r="A23" t="inlineStr">
        <is>
          <t>Belagavi Distributors</t>
        </is>
      </c>
      <c r="B23" t="inlineStr">
        <is>
          <t>Belagavi</t>
        </is>
      </c>
      <c r="C23" s="15" t="n">
        <v>46023</v>
      </c>
      <c r="D23" s="16" t="n">
        <v>1362340</v>
      </c>
      <c r="E23" s="16" t="n">
        <v>1340023</v>
      </c>
      <c r="F23" s="17" t="n">
        <v>0.06529215113578749</v>
      </c>
      <c r="G23" s="16" t="n">
        <v>53793</v>
      </c>
      <c r="H23" s="16" t="n">
        <v>51451</v>
      </c>
      <c r="I23" s="16" t="n">
        <v>35076</v>
      </c>
      <c r="J23" s="16" t="n">
        <v>575541</v>
      </c>
      <c r="K23" s="16">
        <f>D23*F23</f>
        <v/>
      </c>
      <c r="L23" s="16">
        <f>K23+H23-I23</f>
        <v/>
      </c>
      <c r="M23" s="17">
        <f>IFERROR(L23/D23,0)</f>
        <v/>
      </c>
      <c r="N23" s="17">
        <f>IFERROR((L23*12)/J23,0)</f>
        <v/>
      </c>
      <c r="O23" s="17">
        <f>IFERROR(H23/G23,0)</f>
        <v/>
      </c>
      <c r="P23" s="16">
        <f>D23-E23</f>
        <v/>
      </c>
      <c r="Q23">
        <f>IF(M23&lt;0.06,"Below benchmark",IF(M23&lt;=0.08,"On target","Strong"))</f>
        <v/>
      </c>
    </row>
    <row r="24">
      <c r="A24" t="inlineStr">
        <is>
          <t>Belagavi Distributors</t>
        </is>
      </c>
      <c r="B24" t="inlineStr">
        <is>
          <t>Belagavi</t>
        </is>
      </c>
      <c r="C24" s="15" t="n">
        <v>46054</v>
      </c>
      <c r="D24" s="16" t="n">
        <v>910738</v>
      </c>
      <c r="E24" s="16" t="n">
        <v>866168</v>
      </c>
      <c r="F24" s="17" t="n">
        <v>0.06861307388670849</v>
      </c>
      <c r="G24" s="16" t="n">
        <v>27580</v>
      </c>
      <c r="H24" s="16" t="n">
        <v>20424</v>
      </c>
      <c r="I24" s="16" t="n">
        <v>40924</v>
      </c>
      <c r="J24" s="16" t="n">
        <v>486287</v>
      </c>
      <c r="K24" s="16">
        <f>D24*F24</f>
        <v/>
      </c>
      <c r="L24" s="16">
        <f>K24+H24-I24</f>
        <v/>
      </c>
      <c r="M24" s="17">
        <f>IFERROR(L24/D24,0)</f>
        <v/>
      </c>
      <c r="N24" s="17">
        <f>IFERROR((L24*12)/J24,0)</f>
        <v/>
      </c>
      <c r="O24" s="17">
        <f>IFERROR(H24/G24,0)</f>
        <v/>
      </c>
      <c r="P24" s="16">
        <f>D24-E24</f>
        <v/>
      </c>
      <c r="Q24">
        <f>IF(M24&lt;0.06,"Below benchmark",IF(M24&lt;=0.08,"On target","Strong"))</f>
        <v/>
      </c>
    </row>
    <row r="25">
      <c r="A25" t="inlineStr">
        <is>
          <t>Belagavi Distributors</t>
        </is>
      </c>
      <c r="B25" t="inlineStr">
        <is>
          <t>Belagavi</t>
        </is>
      </c>
      <c r="C25" s="15" t="n">
        <v>46082</v>
      </c>
      <c r="D25" s="16" t="n">
        <v>1408582</v>
      </c>
      <c r="E25" s="16" t="n">
        <v>1284000</v>
      </c>
      <c r="F25" s="17" t="n">
        <v>0.07648751643960482</v>
      </c>
      <c r="G25" s="16" t="n">
        <v>40574</v>
      </c>
      <c r="H25" s="16" t="n">
        <v>38433</v>
      </c>
      <c r="I25" s="16" t="n">
        <v>30410</v>
      </c>
      <c r="J25" s="16" t="n">
        <v>588966</v>
      </c>
      <c r="K25" s="16">
        <f>D25*F25</f>
        <v/>
      </c>
      <c r="L25" s="16">
        <f>K25+H25-I25</f>
        <v/>
      </c>
      <c r="M25" s="17">
        <f>IFERROR(L25/D25,0)</f>
        <v/>
      </c>
      <c r="N25" s="17">
        <f>IFERROR((L25*12)/J25,0)</f>
        <v/>
      </c>
      <c r="O25" s="17">
        <f>IFERROR(H25/G25,0)</f>
        <v/>
      </c>
      <c r="P25" s="16">
        <f>D25-E25</f>
        <v/>
      </c>
      <c r="Q25">
        <f>IF(M25&lt;0.06,"Below benchmark",IF(M25&lt;=0.08,"On target","Strong"))</f>
        <v/>
      </c>
    </row>
    <row r="26">
      <c r="A26" t="inlineStr">
        <is>
          <t>Mysuru Wholesale</t>
        </is>
      </c>
      <c r="B26" t="inlineStr">
        <is>
          <t>Mysuru</t>
        </is>
      </c>
      <c r="C26" s="15" t="n">
        <v>45748</v>
      </c>
      <c r="D26" s="16" t="n">
        <v>1403306</v>
      </c>
      <c r="E26" s="16" t="n">
        <v>1316416</v>
      </c>
      <c r="F26" s="17" t="n">
        <v>0.07808649561627887</v>
      </c>
      <c r="G26" s="16" t="n">
        <v>31940</v>
      </c>
      <c r="H26" s="16" t="n">
        <v>30117</v>
      </c>
      <c r="I26" s="16" t="n">
        <v>47605</v>
      </c>
      <c r="J26" s="16" t="n">
        <v>555461</v>
      </c>
      <c r="K26" s="16">
        <f>D26*F26</f>
        <v/>
      </c>
      <c r="L26" s="16">
        <f>K26+H26-I26</f>
        <v/>
      </c>
      <c r="M26" s="17">
        <f>IFERROR(L26/D26,0)</f>
        <v/>
      </c>
      <c r="N26" s="17">
        <f>IFERROR((L26*12)/J26,0)</f>
        <v/>
      </c>
      <c r="O26" s="17">
        <f>IFERROR(H26/G26,0)</f>
        <v/>
      </c>
      <c r="P26" s="16">
        <f>D26-E26</f>
        <v/>
      </c>
      <c r="Q26">
        <f>IF(M26&lt;0.06,"Below benchmark",IF(M26&lt;=0.08,"On target","Strong"))</f>
        <v/>
      </c>
    </row>
    <row r="27">
      <c r="A27" t="inlineStr">
        <is>
          <t>Mysuru Wholesale</t>
        </is>
      </c>
      <c r="B27" t="inlineStr">
        <is>
          <t>Mysuru</t>
        </is>
      </c>
      <c r="C27" s="15" t="n">
        <v>45778</v>
      </c>
      <c r="D27" s="16" t="n">
        <v>1176858</v>
      </c>
      <c r="E27" s="16" t="n">
        <v>1130315</v>
      </c>
      <c r="F27" s="17" t="n">
        <v>0.07098488449996145</v>
      </c>
      <c r="G27" s="16" t="n">
        <v>37236</v>
      </c>
      <c r="H27" s="16" t="n">
        <v>30725</v>
      </c>
      <c r="I27" s="16" t="n">
        <v>41959</v>
      </c>
      <c r="J27" s="16" t="n">
        <v>686708</v>
      </c>
      <c r="K27" s="16">
        <f>D27*F27</f>
        <v/>
      </c>
      <c r="L27" s="16">
        <f>K27+H27-I27</f>
        <v/>
      </c>
      <c r="M27" s="17">
        <f>IFERROR(L27/D27,0)</f>
        <v/>
      </c>
      <c r="N27" s="17">
        <f>IFERROR((L27*12)/J27,0)</f>
        <v/>
      </c>
      <c r="O27" s="17">
        <f>IFERROR(H27/G27,0)</f>
        <v/>
      </c>
      <c r="P27" s="16">
        <f>D27-E27</f>
        <v/>
      </c>
      <c r="Q27">
        <f>IF(M27&lt;0.06,"Below benchmark",IF(M27&lt;=0.08,"On target","Strong"))</f>
        <v/>
      </c>
    </row>
    <row r="28">
      <c r="A28" t="inlineStr">
        <is>
          <t>Mysuru Wholesale</t>
        </is>
      </c>
      <c r="B28" t="inlineStr">
        <is>
          <t>Mysuru</t>
        </is>
      </c>
      <c r="C28" s="15" t="n">
        <v>45809</v>
      </c>
      <c r="D28" s="16" t="n">
        <v>976882</v>
      </c>
      <c r="E28" s="16" t="n">
        <v>884822</v>
      </c>
      <c r="F28" s="17" t="n">
        <v>0.06871858420499012</v>
      </c>
      <c r="G28" s="16" t="n">
        <v>25689</v>
      </c>
      <c r="H28" s="16" t="n">
        <v>22123</v>
      </c>
      <c r="I28" s="16" t="n">
        <v>32540</v>
      </c>
      <c r="J28" s="16" t="n">
        <v>565457</v>
      </c>
      <c r="K28" s="16">
        <f>D28*F28</f>
        <v/>
      </c>
      <c r="L28" s="16">
        <f>K28+H28-I28</f>
        <v/>
      </c>
      <c r="M28" s="17">
        <f>IFERROR(L28/D28,0)</f>
        <v/>
      </c>
      <c r="N28" s="17">
        <f>IFERROR((L28*12)/J28,0)</f>
        <v/>
      </c>
      <c r="O28" s="17">
        <f>IFERROR(H28/G28,0)</f>
        <v/>
      </c>
      <c r="P28" s="16">
        <f>D28-E28</f>
        <v/>
      </c>
      <c r="Q28">
        <f>IF(M28&lt;0.06,"Below benchmark",IF(M28&lt;=0.08,"On target","Strong"))</f>
        <v/>
      </c>
    </row>
    <row r="29">
      <c r="A29" t="inlineStr">
        <is>
          <t>Mysuru Wholesale</t>
        </is>
      </c>
      <c r="B29" t="inlineStr">
        <is>
          <t>Mysuru</t>
        </is>
      </c>
      <c r="C29" s="15" t="n">
        <v>45839</v>
      </c>
      <c r="D29" s="16" t="n">
        <v>857540</v>
      </c>
      <c r="E29" s="16" t="n">
        <v>820493</v>
      </c>
      <c r="F29" s="17" t="n">
        <v>0.0660648962901355</v>
      </c>
      <c r="G29" s="16" t="n">
        <v>32501</v>
      </c>
      <c r="H29" s="16" t="n">
        <v>23926</v>
      </c>
      <c r="I29" s="16" t="n">
        <v>26029</v>
      </c>
      <c r="J29" s="16" t="n">
        <v>623239</v>
      </c>
      <c r="K29" s="16">
        <f>D29*F29</f>
        <v/>
      </c>
      <c r="L29" s="16">
        <f>K29+H29-I29</f>
        <v/>
      </c>
      <c r="M29" s="17">
        <f>IFERROR(L29/D29,0)</f>
        <v/>
      </c>
      <c r="N29" s="17">
        <f>IFERROR((L29*12)/J29,0)</f>
        <v/>
      </c>
      <c r="O29" s="17">
        <f>IFERROR(H29/G29,0)</f>
        <v/>
      </c>
      <c r="P29" s="16">
        <f>D29-E29</f>
        <v/>
      </c>
      <c r="Q29">
        <f>IF(M29&lt;0.06,"Below benchmark",IF(M29&lt;=0.08,"On target","Strong"))</f>
        <v/>
      </c>
    </row>
    <row r="30">
      <c r="A30" t="inlineStr">
        <is>
          <t>Mysuru Wholesale</t>
        </is>
      </c>
      <c r="B30" t="inlineStr">
        <is>
          <t>Mysuru</t>
        </is>
      </c>
      <c r="C30" s="15" t="n">
        <v>45870</v>
      </c>
      <c r="D30" s="16" t="n">
        <v>924299</v>
      </c>
      <c r="E30" s="16" t="n">
        <v>855034</v>
      </c>
      <c r="F30" s="17" t="n">
        <v>0.07271234179712883</v>
      </c>
      <c r="G30" s="16" t="n">
        <v>40906</v>
      </c>
      <c r="H30" s="16" t="n">
        <v>31555</v>
      </c>
      <c r="I30" s="16" t="n">
        <v>29335</v>
      </c>
      <c r="J30" s="16" t="n">
        <v>749391</v>
      </c>
      <c r="K30" s="16">
        <f>D30*F30</f>
        <v/>
      </c>
      <c r="L30" s="16">
        <f>K30+H30-I30</f>
        <v/>
      </c>
      <c r="M30" s="17">
        <f>IFERROR(L30/D30,0)</f>
        <v/>
      </c>
      <c r="N30" s="17">
        <f>IFERROR((L30*12)/J30,0)</f>
        <v/>
      </c>
      <c r="O30" s="17">
        <f>IFERROR(H30/G30,0)</f>
        <v/>
      </c>
      <c r="P30" s="16">
        <f>D30-E30</f>
        <v/>
      </c>
      <c r="Q30">
        <f>IF(M30&lt;0.06,"Below benchmark",IF(M30&lt;=0.08,"On target","Strong"))</f>
        <v/>
      </c>
    </row>
    <row r="31">
      <c r="A31" t="inlineStr">
        <is>
          <t>Mysuru Wholesale</t>
        </is>
      </c>
      <c r="B31" t="inlineStr">
        <is>
          <t>Mysuru</t>
        </is>
      </c>
      <c r="C31" s="15" t="n">
        <v>45901</v>
      </c>
      <c r="D31" s="16" t="n">
        <v>1345631</v>
      </c>
      <c r="E31" s="16" t="n">
        <v>1268348</v>
      </c>
      <c r="F31" s="17" t="n">
        <v>0.06864495863593587</v>
      </c>
      <c r="G31" s="16" t="n">
        <v>38338</v>
      </c>
      <c r="H31" s="16" t="n">
        <v>29355</v>
      </c>
      <c r="I31" s="16" t="n">
        <v>28176</v>
      </c>
      <c r="J31" s="16" t="n">
        <v>675994</v>
      </c>
      <c r="K31" s="16">
        <f>D31*F31</f>
        <v/>
      </c>
      <c r="L31" s="16">
        <f>K31+H31-I31</f>
        <v/>
      </c>
      <c r="M31" s="17">
        <f>IFERROR(L31/D31,0)</f>
        <v/>
      </c>
      <c r="N31" s="17">
        <f>IFERROR((L31*12)/J31,0)</f>
        <v/>
      </c>
      <c r="O31" s="17">
        <f>IFERROR(H31/G31,0)</f>
        <v/>
      </c>
      <c r="P31" s="16">
        <f>D31-E31</f>
        <v/>
      </c>
      <c r="Q31">
        <f>IF(M31&lt;0.06,"Below benchmark",IF(M31&lt;=0.08,"On target","Strong"))</f>
        <v/>
      </c>
    </row>
    <row r="32">
      <c r="A32" t="inlineStr">
        <is>
          <t>Mysuru Wholesale</t>
        </is>
      </c>
      <c r="B32" t="inlineStr">
        <is>
          <t>Mysuru</t>
        </is>
      </c>
      <c r="C32" s="15" t="n">
        <v>45931</v>
      </c>
      <c r="D32" s="16" t="n">
        <v>1221507</v>
      </c>
      <c r="E32" s="16" t="n">
        <v>1150698</v>
      </c>
      <c r="F32" s="17" t="n">
        <v>0.07135367934529882</v>
      </c>
      <c r="G32" s="16" t="n">
        <v>48890</v>
      </c>
      <c r="H32" s="16" t="n">
        <v>35836</v>
      </c>
      <c r="I32" s="16" t="n">
        <v>46412</v>
      </c>
      <c r="J32" s="16" t="n">
        <v>501599</v>
      </c>
      <c r="K32" s="16">
        <f>D32*F32</f>
        <v/>
      </c>
      <c r="L32" s="16">
        <f>K32+H32-I32</f>
        <v/>
      </c>
      <c r="M32" s="17">
        <f>IFERROR(L32/D32,0)</f>
        <v/>
      </c>
      <c r="N32" s="17">
        <f>IFERROR((L32*12)/J32,0)</f>
        <v/>
      </c>
      <c r="O32" s="17">
        <f>IFERROR(H32/G32,0)</f>
        <v/>
      </c>
      <c r="P32" s="16">
        <f>D32-E32</f>
        <v/>
      </c>
      <c r="Q32">
        <f>IF(M32&lt;0.06,"Below benchmark",IF(M32&lt;=0.08,"On target","Strong"))</f>
        <v/>
      </c>
    </row>
    <row r="33">
      <c r="A33" t="inlineStr">
        <is>
          <t>Mysuru Wholesale</t>
        </is>
      </c>
      <c r="B33" t="inlineStr">
        <is>
          <t>Mysuru</t>
        </is>
      </c>
      <c r="C33" s="15" t="n">
        <v>45962</v>
      </c>
      <c r="D33" s="16" t="n">
        <v>913556</v>
      </c>
      <c r="E33" s="16" t="n">
        <v>850097</v>
      </c>
      <c r="F33" s="17" t="n">
        <v>0.07103931923153403</v>
      </c>
      <c r="G33" s="16" t="n">
        <v>53235</v>
      </c>
      <c r="H33" s="16" t="n">
        <v>39725</v>
      </c>
      <c r="I33" s="16" t="n">
        <v>31278</v>
      </c>
      <c r="J33" s="16" t="n">
        <v>549724</v>
      </c>
      <c r="K33" s="16">
        <f>D33*F33</f>
        <v/>
      </c>
      <c r="L33" s="16">
        <f>K33+H33-I33</f>
        <v/>
      </c>
      <c r="M33" s="17">
        <f>IFERROR(L33/D33,0)</f>
        <v/>
      </c>
      <c r="N33" s="17">
        <f>IFERROR((L33*12)/J33,0)</f>
        <v/>
      </c>
      <c r="O33" s="17">
        <f>IFERROR(H33/G33,0)</f>
        <v/>
      </c>
      <c r="P33" s="16">
        <f>D33-E33</f>
        <v/>
      </c>
      <c r="Q33">
        <f>IF(M33&lt;0.06,"Below benchmark",IF(M33&lt;=0.08,"On target","Strong"))</f>
        <v/>
      </c>
    </row>
    <row r="34">
      <c r="A34" t="inlineStr">
        <is>
          <t>Mysuru Wholesale</t>
        </is>
      </c>
      <c r="B34" t="inlineStr">
        <is>
          <t>Mysuru</t>
        </is>
      </c>
      <c r="C34" s="15" t="n">
        <v>45992</v>
      </c>
      <c r="D34" s="16" t="n">
        <v>1412336</v>
      </c>
      <c r="E34" s="16" t="n">
        <v>1324727</v>
      </c>
      <c r="F34" s="17" t="n">
        <v>0.07172920321749698</v>
      </c>
      <c r="G34" s="16" t="n">
        <v>34127</v>
      </c>
      <c r="H34" s="16" t="n">
        <v>28360</v>
      </c>
      <c r="I34" s="16" t="n">
        <v>27470</v>
      </c>
      <c r="J34" s="16" t="n">
        <v>682328</v>
      </c>
      <c r="K34" s="16">
        <f>D34*F34</f>
        <v/>
      </c>
      <c r="L34" s="16">
        <f>K34+H34-I34</f>
        <v/>
      </c>
      <c r="M34" s="17">
        <f>IFERROR(L34/D34,0)</f>
        <v/>
      </c>
      <c r="N34" s="17">
        <f>IFERROR((L34*12)/J34,0)</f>
        <v/>
      </c>
      <c r="O34" s="17">
        <f>IFERROR(H34/G34,0)</f>
        <v/>
      </c>
      <c r="P34" s="16">
        <f>D34-E34</f>
        <v/>
      </c>
      <c r="Q34">
        <f>IF(M34&lt;0.06,"Below benchmark",IF(M34&lt;=0.08,"On target","Strong"))</f>
        <v/>
      </c>
    </row>
    <row r="35">
      <c r="A35" t="inlineStr">
        <is>
          <t>Mysuru Wholesale</t>
        </is>
      </c>
      <c r="B35" t="inlineStr">
        <is>
          <t>Mysuru</t>
        </is>
      </c>
      <c r="C35" s="15" t="n">
        <v>46023</v>
      </c>
      <c r="D35" s="16" t="n">
        <v>1427057</v>
      </c>
      <c r="E35" s="16" t="n">
        <v>1368109</v>
      </c>
      <c r="F35" s="17" t="n">
        <v>0.06646863092302401</v>
      </c>
      <c r="G35" s="16" t="n">
        <v>42713</v>
      </c>
      <c r="H35" s="16" t="n">
        <v>39323</v>
      </c>
      <c r="I35" s="16" t="n">
        <v>28056</v>
      </c>
      <c r="J35" s="16" t="n">
        <v>573930</v>
      </c>
      <c r="K35" s="16">
        <f>D35*F35</f>
        <v/>
      </c>
      <c r="L35" s="16">
        <f>K35+H35-I35</f>
        <v/>
      </c>
      <c r="M35" s="17">
        <f>IFERROR(L35/D35,0)</f>
        <v/>
      </c>
      <c r="N35" s="17">
        <f>IFERROR((L35*12)/J35,0)</f>
        <v/>
      </c>
      <c r="O35" s="17">
        <f>IFERROR(H35/G35,0)</f>
        <v/>
      </c>
      <c r="P35" s="16">
        <f>D35-E35</f>
        <v/>
      </c>
      <c r="Q35">
        <f>IF(M35&lt;0.06,"Below benchmark",IF(M35&lt;=0.08,"On target","Strong"))</f>
        <v/>
      </c>
    </row>
    <row r="36">
      <c r="A36" t="inlineStr">
        <is>
          <t>Mysuru Wholesale</t>
        </is>
      </c>
      <c r="B36" t="inlineStr">
        <is>
          <t>Mysuru</t>
        </is>
      </c>
      <c r="C36" s="15" t="n">
        <v>46054</v>
      </c>
      <c r="D36" s="16" t="n">
        <v>1024389</v>
      </c>
      <c r="E36" s="16" t="n">
        <v>966328</v>
      </c>
      <c r="F36" s="17" t="n">
        <v>0.07109621086928708</v>
      </c>
      <c r="G36" s="16" t="n">
        <v>53332</v>
      </c>
      <c r="H36" s="16" t="n">
        <v>43532</v>
      </c>
      <c r="I36" s="16" t="n">
        <v>26921</v>
      </c>
      <c r="J36" s="16" t="n">
        <v>536317</v>
      </c>
      <c r="K36" s="16">
        <f>D36*F36</f>
        <v/>
      </c>
      <c r="L36" s="16">
        <f>K36+H36-I36</f>
        <v/>
      </c>
      <c r="M36" s="17">
        <f>IFERROR(L36/D36,0)</f>
        <v/>
      </c>
      <c r="N36" s="17">
        <f>IFERROR((L36*12)/J36,0)</f>
        <v/>
      </c>
      <c r="O36" s="17">
        <f>IFERROR(H36/G36,0)</f>
        <v/>
      </c>
      <c r="P36" s="16">
        <f>D36-E36</f>
        <v/>
      </c>
      <c r="Q36">
        <f>IF(M36&lt;0.06,"Below benchmark",IF(M36&lt;=0.08,"On target","Strong"))</f>
        <v/>
      </c>
    </row>
    <row r="37">
      <c r="A37" t="inlineStr">
        <is>
          <t>Mysuru Wholesale</t>
        </is>
      </c>
      <c r="B37" t="inlineStr">
        <is>
          <t>Mysuru</t>
        </is>
      </c>
      <c r="C37" s="15" t="n">
        <v>46082</v>
      </c>
      <c r="D37" s="16" t="n">
        <v>1247382</v>
      </c>
      <c r="E37" s="16" t="n">
        <v>1166474</v>
      </c>
      <c r="F37" s="17" t="n">
        <v>0.06503233067527139</v>
      </c>
      <c r="G37" s="16" t="n">
        <v>50692</v>
      </c>
      <c r="H37" s="16" t="n">
        <v>46050</v>
      </c>
      <c r="I37" s="16" t="n">
        <v>34347</v>
      </c>
      <c r="J37" s="16" t="n">
        <v>671777</v>
      </c>
      <c r="K37" s="16">
        <f>D37*F37</f>
        <v/>
      </c>
      <c r="L37" s="16">
        <f>K37+H37-I37</f>
        <v/>
      </c>
      <c r="M37" s="17">
        <f>IFERROR(L37/D37,0)</f>
        <v/>
      </c>
      <c r="N37" s="17">
        <f>IFERROR((L37*12)/J37,0)</f>
        <v/>
      </c>
      <c r="O37" s="17">
        <f>IFERROR(H37/G37,0)</f>
        <v/>
      </c>
      <c r="P37" s="16">
        <f>D37-E37</f>
        <v/>
      </c>
      <c r="Q37">
        <f>IF(M37&lt;0.06,"Below benchmark",IF(M37&lt;=0.08,"On target","Strong"))</f>
        <v/>
      </c>
    </row>
    <row r="38">
      <c r="A38" t="inlineStr">
        <is>
          <t>Mangaluru Agencies</t>
        </is>
      </c>
      <c r="B38" t="inlineStr">
        <is>
          <t>Mangaluru</t>
        </is>
      </c>
      <c r="C38" s="15" t="n">
        <v>45748</v>
      </c>
      <c r="D38" s="16" t="n">
        <v>1432765</v>
      </c>
      <c r="E38" s="16" t="n">
        <v>1352244</v>
      </c>
      <c r="F38" s="17" t="n">
        <v>0.07492806967926118</v>
      </c>
      <c r="G38" s="16" t="n">
        <v>31222</v>
      </c>
      <c r="H38" s="16" t="n">
        <v>24703</v>
      </c>
      <c r="I38" s="16" t="n">
        <v>26916</v>
      </c>
      <c r="J38" s="16" t="n">
        <v>734266</v>
      </c>
      <c r="K38" s="16">
        <f>D38*F38</f>
        <v/>
      </c>
      <c r="L38" s="16">
        <f>K38+H38-I38</f>
        <v/>
      </c>
      <c r="M38" s="17">
        <f>IFERROR(L38/D38,0)</f>
        <v/>
      </c>
      <c r="N38" s="17">
        <f>IFERROR((L38*12)/J38,0)</f>
        <v/>
      </c>
      <c r="O38" s="17">
        <f>IFERROR(H38/G38,0)</f>
        <v/>
      </c>
      <c r="P38" s="16">
        <f>D38-E38</f>
        <v/>
      </c>
      <c r="Q38">
        <f>IF(M38&lt;0.06,"Below benchmark",IF(M38&lt;=0.08,"On target","Strong"))</f>
        <v/>
      </c>
    </row>
    <row r="39">
      <c r="A39" t="inlineStr">
        <is>
          <t>Mangaluru Agencies</t>
        </is>
      </c>
      <c r="B39" t="inlineStr">
        <is>
          <t>Mangaluru</t>
        </is>
      </c>
      <c r="C39" s="15" t="n">
        <v>45778</v>
      </c>
      <c r="D39" s="16" t="n">
        <v>913918</v>
      </c>
      <c r="E39" s="16" t="n">
        <v>827228</v>
      </c>
      <c r="F39" s="17" t="n">
        <v>0.07621963340568597</v>
      </c>
      <c r="G39" s="16" t="n">
        <v>44142</v>
      </c>
      <c r="H39" s="16" t="n">
        <v>36833</v>
      </c>
      <c r="I39" s="16" t="n">
        <v>42403</v>
      </c>
      <c r="J39" s="16" t="n">
        <v>532540</v>
      </c>
      <c r="K39" s="16">
        <f>D39*F39</f>
        <v/>
      </c>
      <c r="L39" s="16">
        <f>K39+H39-I39</f>
        <v/>
      </c>
      <c r="M39" s="17">
        <f>IFERROR(L39/D39,0)</f>
        <v/>
      </c>
      <c r="N39" s="17">
        <f>IFERROR((L39*12)/J39,0)</f>
        <v/>
      </c>
      <c r="O39" s="17">
        <f>IFERROR(H39/G39,0)</f>
        <v/>
      </c>
      <c r="P39" s="16">
        <f>D39-E39</f>
        <v/>
      </c>
      <c r="Q39">
        <f>IF(M39&lt;0.06,"Below benchmark",IF(M39&lt;=0.08,"On target","Strong"))</f>
        <v/>
      </c>
    </row>
    <row r="40">
      <c r="A40" t="inlineStr">
        <is>
          <t>Mangaluru Agencies</t>
        </is>
      </c>
      <c r="B40" t="inlineStr">
        <is>
          <t>Mangaluru</t>
        </is>
      </c>
      <c r="C40" s="15" t="n">
        <v>45809</v>
      </c>
      <c r="D40" s="16" t="n">
        <v>909642</v>
      </c>
      <c r="E40" s="16" t="n">
        <v>825236</v>
      </c>
      <c r="F40" s="17" t="n">
        <v>0.07941168354911676</v>
      </c>
      <c r="G40" s="16" t="n">
        <v>31089</v>
      </c>
      <c r="H40" s="16" t="n">
        <v>22895</v>
      </c>
      <c r="I40" s="16" t="n">
        <v>27226</v>
      </c>
      <c r="J40" s="16" t="n">
        <v>573314</v>
      </c>
      <c r="K40" s="16">
        <f>D40*F40</f>
        <v/>
      </c>
      <c r="L40" s="16">
        <f>K40+H40-I40</f>
        <v/>
      </c>
      <c r="M40" s="17">
        <f>IFERROR(L40/D40,0)</f>
        <v/>
      </c>
      <c r="N40" s="17">
        <f>IFERROR((L40*12)/J40,0)</f>
        <v/>
      </c>
      <c r="O40" s="17">
        <f>IFERROR(H40/G40,0)</f>
        <v/>
      </c>
      <c r="P40" s="16">
        <f>D40-E40</f>
        <v/>
      </c>
      <c r="Q40">
        <f>IF(M40&lt;0.06,"Below benchmark",IF(M40&lt;=0.08,"On target","Strong"))</f>
        <v/>
      </c>
    </row>
    <row r="41">
      <c r="A41" t="inlineStr">
        <is>
          <t>Mangaluru Agencies</t>
        </is>
      </c>
      <c r="B41" t="inlineStr">
        <is>
          <t>Mangaluru</t>
        </is>
      </c>
      <c r="C41" s="15" t="n">
        <v>45839</v>
      </c>
      <c r="D41" s="16" t="n">
        <v>1273389</v>
      </c>
      <c r="E41" s="16" t="n">
        <v>1248081</v>
      </c>
      <c r="F41" s="17" t="n">
        <v>0.06679829920920687</v>
      </c>
      <c r="G41" s="16" t="n">
        <v>33067</v>
      </c>
      <c r="H41" s="16" t="n">
        <v>28402</v>
      </c>
      <c r="I41" s="16" t="n">
        <v>26302</v>
      </c>
      <c r="J41" s="16" t="n">
        <v>492982</v>
      </c>
      <c r="K41" s="16">
        <f>D41*F41</f>
        <v/>
      </c>
      <c r="L41" s="16">
        <f>K41+H41-I41</f>
        <v/>
      </c>
      <c r="M41" s="17">
        <f>IFERROR(L41/D41,0)</f>
        <v/>
      </c>
      <c r="N41" s="17">
        <f>IFERROR((L41*12)/J41,0)</f>
        <v/>
      </c>
      <c r="O41" s="17">
        <f>IFERROR(H41/G41,0)</f>
        <v/>
      </c>
      <c r="P41" s="16">
        <f>D41-E41</f>
        <v/>
      </c>
      <c r="Q41">
        <f>IF(M41&lt;0.06,"Below benchmark",IF(M41&lt;=0.08,"On target","Strong"))</f>
        <v/>
      </c>
    </row>
    <row r="42">
      <c r="A42" t="inlineStr">
        <is>
          <t>Mangaluru Agencies</t>
        </is>
      </c>
      <c r="B42" t="inlineStr">
        <is>
          <t>Mangaluru</t>
        </is>
      </c>
      <c r="C42" s="15" t="n">
        <v>45870</v>
      </c>
      <c r="D42" s="16" t="n">
        <v>1289589</v>
      </c>
      <c r="E42" s="16" t="n">
        <v>1226232</v>
      </c>
      <c r="F42" s="17" t="n">
        <v>0.07486059746708784</v>
      </c>
      <c r="G42" s="16" t="n">
        <v>35366</v>
      </c>
      <c r="H42" s="16" t="n">
        <v>33397</v>
      </c>
      <c r="I42" s="16" t="n">
        <v>31693</v>
      </c>
      <c r="J42" s="16" t="n">
        <v>614722</v>
      </c>
      <c r="K42" s="16">
        <f>D42*F42</f>
        <v/>
      </c>
      <c r="L42" s="16">
        <f>K42+H42-I42</f>
        <v/>
      </c>
      <c r="M42" s="17">
        <f>IFERROR(L42/D42,0)</f>
        <v/>
      </c>
      <c r="N42" s="17">
        <f>IFERROR((L42*12)/J42,0)</f>
        <v/>
      </c>
      <c r="O42" s="17">
        <f>IFERROR(H42/G42,0)</f>
        <v/>
      </c>
      <c r="P42" s="16">
        <f>D42-E42</f>
        <v/>
      </c>
      <c r="Q42">
        <f>IF(M42&lt;0.06,"Below benchmark",IF(M42&lt;=0.08,"On target","Strong"))</f>
        <v/>
      </c>
    </row>
    <row r="43">
      <c r="A43" t="inlineStr">
        <is>
          <t>Mangaluru Agencies</t>
        </is>
      </c>
      <c r="B43" t="inlineStr">
        <is>
          <t>Mangaluru</t>
        </is>
      </c>
      <c r="C43" s="15" t="n">
        <v>45901</v>
      </c>
      <c r="D43" s="16" t="n">
        <v>1100280</v>
      </c>
      <c r="E43" s="16" t="n">
        <v>1003212</v>
      </c>
      <c r="F43" s="17" t="n">
        <v>0.06898421768797031</v>
      </c>
      <c r="G43" s="16" t="n">
        <v>46151</v>
      </c>
      <c r="H43" s="16" t="n">
        <v>36551</v>
      </c>
      <c r="I43" s="16" t="n">
        <v>35360</v>
      </c>
      <c r="J43" s="16" t="n">
        <v>488033</v>
      </c>
      <c r="K43" s="16">
        <f>D43*F43</f>
        <v/>
      </c>
      <c r="L43" s="16">
        <f>K43+H43-I43</f>
        <v/>
      </c>
      <c r="M43" s="17">
        <f>IFERROR(L43/D43,0)</f>
        <v/>
      </c>
      <c r="N43" s="17">
        <f>IFERROR((L43*12)/J43,0)</f>
        <v/>
      </c>
      <c r="O43" s="17">
        <f>IFERROR(H43/G43,0)</f>
        <v/>
      </c>
      <c r="P43" s="16">
        <f>D43-E43</f>
        <v/>
      </c>
      <c r="Q43">
        <f>IF(M43&lt;0.06,"Below benchmark",IF(M43&lt;=0.08,"On target","Strong"))</f>
        <v/>
      </c>
    </row>
    <row r="44">
      <c r="A44" t="inlineStr">
        <is>
          <t>Mangaluru Agencies</t>
        </is>
      </c>
      <c r="B44" t="inlineStr">
        <is>
          <t>Mangaluru</t>
        </is>
      </c>
      <c r="C44" s="15" t="n">
        <v>45931</v>
      </c>
      <c r="D44" s="16" t="n">
        <v>859767</v>
      </c>
      <c r="E44" s="16" t="n">
        <v>851049</v>
      </c>
      <c r="F44" s="17" t="n">
        <v>0.0718742828392788</v>
      </c>
      <c r="G44" s="16" t="n">
        <v>28276</v>
      </c>
      <c r="H44" s="16" t="n">
        <v>20855</v>
      </c>
      <c r="I44" s="16" t="n">
        <v>31984</v>
      </c>
      <c r="J44" s="16" t="n">
        <v>715229</v>
      </c>
      <c r="K44" s="16">
        <f>D44*F44</f>
        <v/>
      </c>
      <c r="L44" s="16">
        <f>K44+H44-I44</f>
        <v/>
      </c>
      <c r="M44" s="17">
        <f>IFERROR(L44/D44,0)</f>
        <v/>
      </c>
      <c r="N44" s="17">
        <f>IFERROR((L44*12)/J44,0)</f>
        <v/>
      </c>
      <c r="O44" s="17">
        <f>IFERROR(H44/G44,0)</f>
        <v/>
      </c>
      <c r="P44" s="16">
        <f>D44-E44</f>
        <v/>
      </c>
      <c r="Q44">
        <f>IF(M44&lt;0.06,"Below benchmark",IF(M44&lt;=0.08,"On target","Strong"))</f>
        <v/>
      </c>
    </row>
    <row r="45">
      <c r="A45" t="inlineStr">
        <is>
          <t>Mangaluru Agencies</t>
        </is>
      </c>
      <c r="B45" t="inlineStr">
        <is>
          <t>Mangaluru</t>
        </is>
      </c>
      <c r="C45" s="15" t="n">
        <v>45962</v>
      </c>
      <c r="D45" s="16" t="n">
        <v>1128082</v>
      </c>
      <c r="E45" s="16" t="n">
        <v>1050707</v>
      </c>
      <c r="F45" s="17" t="n">
        <v>0.06698684855549701</v>
      </c>
      <c r="G45" s="16" t="n">
        <v>27254</v>
      </c>
      <c r="H45" s="16" t="n">
        <v>25374</v>
      </c>
      <c r="I45" s="16" t="n">
        <v>37108</v>
      </c>
      <c r="J45" s="16" t="n">
        <v>599415</v>
      </c>
      <c r="K45" s="16">
        <f>D45*F45</f>
        <v/>
      </c>
      <c r="L45" s="16">
        <f>K45+H45-I45</f>
        <v/>
      </c>
      <c r="M45" s="17">
        <f>IFERROR(L45/D45,0)</f>
        <v/>
      </c>
      <c r="N45" s="17">
        <f>IFERROR((L45*12)/J45,0)</f>
        <v/>
      </c>
      <c r="O45" s="17">
        <f>IFERROR(H45/G45,0)</f>
        <v/>
      </c>
      <c r="P45" s="16">
        <f>D45-E45</f>
        <v/>
      </c>
      <c r="Q45">
        <f>IF(M45&lt;0.06,"Below benchmark",IF(M45&lt;=0.08,"On target","Strong"))</f>
        <v/>
      </c>
    </row>
    <row r="46">
      <c r="A46" t="inlineStr">
        <is>
          <t>Mangaluru Agencies</t>
        </is>
      </c>
      <c r="B46" t="inlineStr">
        <is>
          <t>Mangaluru</t>
        </is>
      </c>
      <c r="C46" s="15" t="n">
        <v>45992</v>
      </c>
      <c r="D46" s="16" t="n">
        <v>1015409</v>
      </c>
      <c r="E46" s="16" t="n">
        <v>963511</v>
      </c>
      <c r="F46" s="17" t="n">
        <v>0.07157276859511565</v>
      </c>
      <c r="G46" s="16" t="n">
        <v>34912</v>
      </c>
      <c r="H46" s="16" t="n">
        <v>30261</v>
      </c>
      <c r="I46" s="16" t="n">
        <v>46429</v>
      </c>
      <c r="J46" s="16" t="n">
        <v>727317</v>
      </c>
      <c r="K46" s="16">
        <f>D46*F46</f>
        <v/>
      </c>
      <c r="L46" s="16">
        <f>K46+H46-I46</f>
        <v/>
      </c>
      <c r="M46" s="17">
        <f>IFERROR(L46/D46,0)</f>
        <v/>
      </c>
      <c r="N46" s="17">
        <f>IFERROR((L46*12)/J46,0)</f>
        <v/>
      </c>
      <c r="O46" s="17">
        <f>IFERROR(H46/G46,0)</f>
        <v/>
      </c>
      <c r="P46" s="16">
        <f>D46-E46</f>
        <v/>
      </c>
      <c r="Q46">
        <f>IF(M46&lt;0.06,"Below benchmark",IF(M46&lt;=0.08,"On target","Strong"))</f>
        <v/>
      </c>
    </row>
    <row r="47">
      <c r="A47" t="inlineStr">
        <is>
          <t>Mangaluru Agencies</t>
        </is>
      </c>
      <c r="B47" t="inlineStr">
        <is>
          <t>Mangaluru</t>
        </is>
      </c>
      <c r="C47" s="15" t="n">
        <v>46023</v>
      </c>
      <c r="D47" s="16" t="n">
        <v>858203</v>
      </c>
      <c r="E47" s="16" t="n">
        <v>815219</v>
      </c>
      <c r="F47" s="17" t="n">
        <v>0.07501794805568876</v>
      </c>
      <c r="G47" s="16" t="n">
        <v>46737</v>
      </c>
      <c r="H47" s="16" t="n">
        <v>34812</v>
      </c>
      <c r="I47" s="16" t="n">
        <v>29400</v>
      </c>
      <c r="J47" s="16" t="n">
        <v>588656</v>
      </c>
      <c r="K47" s="16">
        <f>D47*F47</f>
        <v/>
      </c>
      <c r="L47" s="16">
        <f>K47+H47-I47</f>
        <v/>
      </c>
      <c r="M47" s="17">
        <f>IFERROR(L47/D47,0)</f>
        <v/>
      </c>
      <c r="N47" s="17">
        <f>IFERROR((L47*12)/J47,0)</f>
        <v/>
      </c>
      <c r="O47" s="17">
        <f>IFERROR(H47/G47,0)</f>
        <v/>
      </c>
      <c r="P47" s="16">
        <f>D47-E47</f>
        <v/>
      </c>
      <c r="Q47">
        <f>IF(M47&lt;0.06,"Below benchmark",IF(M47&lt;=0.08,"On target","Strong"))</f>
        <v/>
      </c>
    </row>
    <row r="48">
      <c r="A48" t="inlineStr">
        <is>
          <t>Mangaluru Agencies</t>
        </is>
      </c>
      <c r="B48" t="inlineStr">
        <is>
          <t>Mangaluru</t>
        </is>
      </c>
      <c r="C48" s="15" t="n">
        <v>46054</v>
      </c>
      <c r="D48" s="16" t="n">
        <v>971035</v>
      </c>
      <c r="E48" s="16" t="n">
        <v>938813</v>
      </c>
      <c r="F48" s="17" t="n">
        <v>0.07834569060508564</v>
      </c>
      <c r="G48" s="16" t="n">
        <v>30093</v>
      </c>
      <c r="H48" s="16" t="n">
        <v>23633</v>
      </c>
      <c r="I48" s="16" t="n">
        <v>44819</v>
      </c>
      <c r="J48" s="16" t="n">
        <v>560430</v>
      </c>
      <c r="K48" s="16">
        <f>D48*F48</f>
        <v/>
      </c>
      <c r="L48" s="16">
        <f>K48+H48-I48</f>
        <v/>
      </c>
      <c r="M48" s="17">
        <f>IFERROR(L48/D48,0)</f>
        <v/>
      </c>
      <c r="N48" s="17">
        <f>IFERROR((L48*12)/J48,0)</f>
        <v/>
      </c>
      <c r="O48" s="17">
        <f>IFERROR(H48/G48,0)</f>
        <v/>
      </c>
      <c r="P48" s="16">
        <f>D48-E48</f>
        <v/>
      </c>
      <c r="Q48">
        <f>IF(M48&lt;0.06,"Below benchmark",IF(M48&lt;=0.08,"On target","Strong"))</f>
        <v/>
      </c>
    </row>
    <row r="49">
      <c r="A49" t="inlineStr">
        <is>
          <t>Mangaluru Agencies</t>
        </is>
      </c>
      <c r="B49" t="inlineStr">
        <is>
          <t>Mangaluru</t>
        </is>
      </c>
      <c r="C49" s="15" t="n">
        <v>46082</v>
      </c>
      <c r="D49" s="16" t="n">
        <v>1209536</v>
      </c>
      <c r="E49" s="16" t="n">
        <v>1157624</v>
      </c>
      <c r="F49" s="17" t="n">
        <v>0.06805395968491179</v>
      </c>
      <c r="G49" s="16" t="n">
        <v>33650</v>
      </c>
      <c r="H49" s="16" t="n">
        <v>28309</v>
      </c>
      <c r="I49" s="16" t="n">
        <v>33228</v>
      </c>
      <c r="J49" s="16" t="n">
        <v>476633</v>
      </c>
      <c r="K49" s="16">
        <f>D49*F49</f>
        <v/>
      </c>
      <c r="L49" s="16">
        <f>K49+H49-I49</f>
        <v/>
      </c>
      <c r="M49" s="17">
        <f>IFERROR(L49/D49,0)</f>
        <v/>
      </c>
      <c r="N49" s="17">
        <f>IFERROR((L49*12)/J49,0)</f>
        <v/>
      </c>
      <c r="O49" s="17">
        <f>IFERROR(H49/G49,0)</f>
        <v/>
      </c>
      <c r="P49" s="16">
        <f>D49-E49</f>
        <v/>
      </c>
      <c r="Q49">
        <f>IF(M49&lt;0.06,"Below benchmark",IF(M49&lt;=0.08,"On target","Strong"))</f>
        <v/>
      </c>
    </row>
    <row r="50">
      <c r="A50" t="inlineStr">
        <is>
          <t>Dharwad Supply Co</t>
        </is>
      </c>
      <c r="B50" t="inlineStr">
        <is>
          <t>Dharwad</t>
        </is>
      </c>
      <c r="C50" s="15" t="n">
        <v>45748</v>
      </c>
      <c r="D50" s="16" t="n">
        <v>946781</v>
      </c>
      <c r="E50" s="16" t="n">
        <v>842182</v>
      </c>
      <c r="F50" s="17" t="n">
        <v>0.05634284447309194</v>
      </c>
      <c r="G50" s="16" t="n">
        <v>46444</v>
      </c>
      <c r="H50" s="16" t="n">
        <v>19539</v>
      </c>
      <c r="I50" s="16" t="n">
        <v>90268</v>
      </c>
      <c r="J50" s="16" t="n">
        <v>768587</v>
      </c>
      <c r="K50" s="16">
        <f>D50*F50</f>
        <v/>
      </c>
      <c r="L50" s="16">
        <f>K50+H50-I50</f>
        <v/>
      </c>
      <c r="M50" s="17">
        <f>IFERROR(L50/D50,0)</f>
        <v/>
      </c>
      <c r="N50" s="17">
        <f>IFERROR((L50*12)/J50,0)</f>
        <v/>
      </c>
      <c r="O50" s="17">
        <f>IFERROR(H50/G50,0)</f>
        <v/>
      </c>
      <c r="P50" s="16">
        <f>D50-E50</f>
        <v/>
      </c>
      <c r="Q50">
        <f>IF(M50&lt;0.06,"Below benchmark",IF(M50&lt;=0.08,"On target","Strong"))</f>
        <v/>
      </c>
    </row>
    <row r="51">
      <c r="A51" t="inlineStr">
        <is>
          <t>Dharwad Supply Co</t>
        </is>
      </c>
      <c r="B51" t="inlineStr">
        <is>
          <t>Dharwad</t>
        </is>
      </c>
      <c r="C51" s="15" t="n">
        <v>45778</v>
      </c>
      <c r="D51" s="16" t="n">
        <v>1124680</v>
      </c>
      <c r="E51" s="16" t="n">
        <v>948128</v>
      </c>
      <c r="F51" s="17" t="n">
        <v>0.05161581976273887</v>
      </c>
      <c r="G51" s="16" t="n">
        <v>68123</v>
      </c>
      <c r="H51" s="16" t="n">
        <v>34438</v>
      </c>
      <c r="I51" s="16" t="n">
        <v>65316</v>
      </c>
      <c r="J51" s="16" t="n">
        <v>758654</v>
      </c>
      <c r="K51" s="16">
        <f>D51*F51</f>
        <v/>
      </c>
      <c r="L51" s="16">
        <f>K51+H51-I51</f>
        <v/>
      </c>
      <c r="M51" s="17">
        <f>IFERROR(L51/D51,0)</f>
        <v/>
      </c>
      <c r="N51" s="17">
        <f>IFERROR((L51*12)/J51,0)</f>
        <v/>
      </c>
      <c r="O51" s="17">
        <f>IFERROR(H51/G51,0)</f>
        <v/>
      </c>
      <c r="P51" s="16">
        <f>D51-E51</f>
        <v/>
      </c>
      <c r="Q51">
        <f>IF(M51&lt;0.06,"Below benchmark",IF(M51&lt;=0.08,"On target","Strong"))</f>
        <v/>
      </c>
    </row>
    <row r="52">
      <c r="A52" t="inlineStr">
        <is>
          <t>Dharwad Supply Co</t>
        </is>
      </c>
      <c r="B52" t="inlineStr">
        <is>
          <t>Dharwad</t>
        </is>
      </c>
      <c r="C52" s="15" t="n">
        <v>45809</v>
      </c>
      <c r="D52" s="16" t="n">
        <v>928898</v>
      </c>
      <c r="E52" s="16" t="n">
        <v>810855</v>
      </c>
      <c r="F52" s="17" t="n">
        <v>0.05945050939046639</v>
      </c>
      <c r="G52" s="16" t="n">
        <v>49884</v>
      </c>
      <c r="H52" s="16" t="n">
        <v>26394</v>
      </c>
      <c r="I52" s="16" t="n">
        <v>92348</v>
      </c>
      <c r="J52" s="16" t="n">
        <v>893575</v>
      </c>
      <c r="K52" s="16">
        <f>D52*F52</f>
        <v/>
      </c>
      <c r="L52" s="16">
        <f>K52+H52-I52</f>
        <v/>
      </c>
      <c r="M52" s="17">
        <f>IFERROR(L52/D52,0)</f>
        <v/>
      </c>
      <c r="N52" s="17">
        <f>IFERROR((L52*12)/J52,0)</f>
        <v/>
      </c>
      <c r="O52" s="17">
        <f>IFERROR(H52/G52,0)</f>
        <v/>
      </c>
      <c r="P52" s="16">
        <f>D52-E52</f>
        <v/>
      </c>
      <c r="Q52">
        <f>IF(M52&lt;0.06,"Below benchmark",IF(M52&lt;=0.08,"On target","Strong"))</f>
        <v/>
      </c>
    </row>
    <row r="53">
      <c r="A53" t="inlineStr">
        <is>
          <t>Dharwad Supply Co</t>
        </is>
      </c>
      <c r="B53" t="inlineStr">
        <is>
          <t>Dharwad</t>
        </is>
      </c>
      <c r="C53" s="15" t="n">
        <v>45839</v>
      </c>
      <c r="D53" s="16" t="n">
        <v>1429364</v>
      </c>
      <c r="E53" s="16" t="n">
        <v>1151057</v>
      </c>
      <c r="F53" s="17" t="n">
        <v>0.05148093785567483</v>
      </c>
      <c r="G53" s="16" t="n">
        <v>55101</v>
      </c>
      <c r="H53" s="16" t="n">
        <v>27160</v>
      </c>
      <c r="I53" s="16" t="n">
        <v>91087</v>
      </c>
      <c r="J53" s="16" t="n">
        <v>720916</v>
      </c>
      <c r="K53" s="16">
        <f>D53*F53</f>
        <v/>
      </c>
      <c r="L53" s="16">
        <f>K53+H53-I53</f>
        <v/>
      </c>
      <c r="M53" s="17">
        <f>IFERROR(L53/D53,0)</f>
        <v/>
      </c>
      <c r="N53" s="17">
        <f>IFERROR((L53*12)/J53,0)</f>
        <v/>
      </c>
      <c r="O53" s="17">
        <f>IFERROR(H53/G53,0)</f>
        <v/>
      </c>
      <c r="P53" s="16">
        <f>D53-E53</f>
        <v/>
      </c>
      <c r="Q53">
        <f>IF(M53&lt;0.06,"Below benchmark",IF(M53&lt;=0.08,"On target","Strong"))</f>
        <v/>
      </c>
    </row>
    <row r="54">
      <c r="A54" t="inlineStr">
        <is>
          <t>Dharwad Supply Co</t>
        </is>
      </c>
      <c r="B54" t="inlineStr">
        <is>
          <t>Dharwad</t>
        </is>
      </c>
      <c r="C54" s="15" t="n">
        <v>45870</v>
      </c>
      <c r="D54" s="16" t="n">
        <v>1225190</v>
      </c>
      <c r="E54" s="16" t="n">
        <v>1004586</v>
      </c>
      <c r="F54" s="17" t="n">
        <v>0.05210076538339754</v>
      </c>
      <c r="G54" s="16" t="n">
        <v>48368</v>
      </c>
      <c r="H54" s="16" t="n">
        <v>23735</v>
      </c>
      <c r="I54" s="16" t="n">
        <v>83346</v>
      </c>
      <c r="J54" s="16" t="n">
        <v>913058</v>
      </c>
      <c r="K54" s="16">
        <f>D54*F54</f>
        <v/>
      </c>
      <c r="L54" s="16">
        <f>K54+H54-I54</f>
        <v/>
      </c>
      <c r="M54" s="17">
        <f>IFERROR(L54/D54,0)</f>
        <v/>
      </c>
      <c r="N54" s="17">
        <f>IFERROR((L54*12)/J54,0)</f>
        <v/>
      </c>
      <c r="O54" s="17">
        <f>IFERROR(H54/G54,0)</f>
        <v/>
      </c>
      <c r="P54" s="16">
        <f>D54-E54</f>
        <v/>
      </c>
      <c r="Q54">
        <f>IF(M54&lt;0.06,"Below benchmark",IF(M54&lt;=0.08,"On target","Strong"))</f>
        <v/>
      </c>
    </row>
    <row r="55">
      <c r="A55" t="inlineStr">
        <is>
          <t>Dharwad Supply Co</t>
        </is>
      </c>
      <c r="B55" t="inlineStr">
        <is>
          <t>Dharwad</t>
        </is>
      </c>
      <c r="C55" s="15" t="n">
        <v>45901</v>
      </c>
      <c r="D55" s="16" t="n">
        <v>1012060</v>
      </c>
      <c r="E55" s="16" t="n">
        <v>828278</v>
      </c>
      <c r="F55" s="17" t="n">
        <v>0.05925763822569556</v>
      </c>
      <c r="G55" s="16" t="n">
        <v>50324</v>
      </c>
      <c r="H55" s="16" t="n">
        <v>30961</v>
      </c>
      <c r="I55" s="16" t="n">
        <v>91567</v>
      </c>
      <c r="J55" s="16" t="n">
        <v>792826</v>
      </c>
      <c r="K55" s="16">
        <f>D55*F55</f>
        <v/>
      </c>
      <c r="L55" s="16">
        <f>K55+H55-I55</f>
        <v/>
      </c>
      <c r="M55" s="17">
        <f>IFERROR(L55/D55,0)</f>
        <v/>
      </c>
      <c r="N55" s="17">
        <f>IFERROR((L55*12)/J55,0)</f>
        <v/>
      </c>
      <c r="O55" s="17">
        <f>IFERROR(H55/G55,0)</f>
        <v/>
      </c>
      <c r="P55" s="16">
        <f>D55-E55</f>
        <v/>
      </c>
      <c r="Q55">
        <f>IF(M55&lt;0.06,"Below benchmark",IF(M55&lt;=0.08,"On target","Strong"))</f>
        <v/>
      </c>
    </row>
    <row r="56">
      <c r="A56" t="inlineStr">
        <is>
          <t>Dharwad Supply Co</t>
        </is>
      </c>
      <c r="B56" t="inlineStr">
        <is>
          <t>Dharwad</t>
        </is>
      </c>
      <c r="C56" s="15" t="n">
        <v>45931</v>
      </c>
      <c r="D56" s="16" t="n">
        <v>1282322</v>
      </c>
      <c r="E56" s="16" t="n">
        <v>1126375</v>
      </c>
      <c r="F56" s="17" t="n">
        <v>0.05024786361898189</v>
      </c>
      <c r="G56" s="16" t="n">
        <v>55885</v>
      </c>
      <c r="H56" s="16" t="n">
        <v>32216</v>
      </c>
      <c r="I56" s="16" t="n">
        <v>78491</v>
      </c>
      <c r="J56" s="16" t="n">
        <v>830111</v>
      </c>
      <c r="K56" s="16">
        <f>D56*F56</f>
        <v/>
      </c>
      <c r="L56" s="16">
        <f>K56+H56-I56</f>
        <v/>
      </c>
      <c r="M56" s="17">
        <f>IFERROR(L56/D56,0)</f>
        <v/>
      </c>
      <c r="N56" s="17">
        <f>IFERROR((L56*12)/J56,0)</f>
        <v/>
      </c>
      <c r="O56" s="17">
        <f>IFERROR(H56/G56,0)</f>
        <v/>
      </c>
      <c r="P56" s="16">
        <f>D56-E56</f>
        <v/>
      </c>
      <c r="Q56">
        <f>IF(M56&lt;0.06,"Below benchmark",IF(M56&lt;=0.08,"On target","Strong"))</f>
        <v/>
      </c>
    </row>
    <row r="57">
      <c r="A57" t="inlineStr">
        <is>
          <t>Dharwad Supply Co</t>
        </is>
      </c>
      <c r="B57" t="inlineStr">
        <is>
          <t>Dharwad</t>
        </is>
      </c>
      <c r="C57" s="15" t="n">
        <v>45962</v>
      </c>
      <c r="D57" s="16" t="n">
        <v>1129766</v>
      </c>
      <c r="E57" s="16" t="n">
        <v>987588</v>
      </c>
      <c r="F57" s="17" t="n">
        <v>0.05159197842980731</v>
      </c>
      <c r="G57" s="16" t="n">
        <v>57535</v>
      </c>
      <c r="H57" s="16" t="n">
        <v>34200</v>
      </c>
      <c r="I57" s="16" t="n">
        <v>93134</v>
      </c>
      <c r="J57" s="16" t="n">
        <v>946777</v>
      </c>
      <c r="K57" s="16">
        <f>D57*F57</f>
        <v/>
      </c>
      <c r="L57" s="16">
        <f>K57+H57-I57</f>
        <v/>
      </c>
      <c r="M57" s="17">
        <f>IFERROR(L57/D57,0)</f>
        <v/>
      </c>
      <c r="N57" s="17">
        <f>IFERROR((L57*12)/J57,0)</f>
        <v/>
      </c>
      <c r="O57" s="17">
        <f>IFERROR(H57/G57,0)</f>
        <v/>
      </c>
      <c r="P57" s="16">
        <f>D57-E57</f>
        <v/>
      </c>
      <c r="Q57">
        <f>IF(M57&lt;0.06,"Below benchmark",IF(M57&lt;=0.08,"On target","Strong"))</f>
        <v/>
      </c>
    </row>
    <row r="58">
      <c r="A58" t="inlineStr">
        <is>
          <t>Dharwad Supply Co</t>
        </is>
      </c>
      <c r="B58" t="inlineStr">
        <is>
          <t>Dharwad</t>
        </is>
      </c>
      <c r="C58" s="15" t="n">
        <v>45992</v>
      </c>
      <c r="D58" s="16" t="n">
        <v>1083238</v>
      </c>
      <c r="E58" s="16" t="n">
        <v>975146</v>
      </c>
      <c r="F58" s="17" t="n">
        <v>0.05199572830025752</v>
      </c>
      <c r="G58" s="16" t="n">
        <v>56457</v>
      </c>
      <c r="H58" s="16" t="n">
        <v>27157</v>
      </c>
      <c r="I58" s="16" t="n">
        <v>91061</v>
      </c>
      <c r="J58" s="16" t="n">
        <v>819325</v>
      </c>
      <c r="K58" s="16">
        <f>D58*F58</f>
        <v/>
      </c>
      <c r="L58" s="16">
        <f>K58+H58-I58</f>
        <v/>
      </c>
      <c r="M58" s="17">
        <f>IFERROR(L58/D58,0)</f>
        <v/>
      </c>
      <c r="N58" s="17">
        <f>IFERROR((L58*12)/J58,0)</f>
        <v/>
      </c>
      <c r="O58" s="17">
        <f>IFERROR(H58/G58,0)</f>
        <v/>
      </c>
      <c r="P58" s="16">
        <f>D58-E58</f>
        <v/>
      </c>
      <c r="Q58">
        <f>IF(M58&lt;0.06,"Below benchmark",IF(M58&lt;=0.08,"On target","Strong"))</f>
        <v/>
      </c>
    </row>
    <row r="59">
      <c r="A59" t="inlineStr">
        <is>
          <t>Dharwad Supply Co</t>
        </is>
      </c>
      <c r="B59" t="inlineStr">
        <is>
          <t>Dharwad</t>
        </is>
      </c>
      <c r="C59" s="15" t="n">
        <v>46023</v>
      </c>
      <c r="D59" s="16" t="n">
        <v>1083752</v>
      </c>
      <c r="E59" s="16" t="n">
        <v>881280</v>
      </c>
      <c r="F59" s="17" t="n">
        <v>0.05023664434701452</v>
      </c>
      <c r="G59" s="16" t="n">
        <v>55756</v>
      </c>
      <c r="H59" s="16" t="n">
        <v>26524</v>
      </c>
      <c r="I59" s="16" t="n">
        <v>67274</v>
      </c>
      <c r="J59" s="16" t="n">
        <v>846341</v>
      </c>
      <c r="K59" s="16">
        <f>D59*F59</f>
        <v/>
      </c>
      <c r="L59" s="16">
        <f>K59+H59-I59</f>
        <v/>
      </c>
      <c r="M59" s="17">
        <f>IFERROR(L59/D59,0)</f>
        <v/>
      </c>
      <c r="N59" s="17">
        <f>IFERROR((L59*12)/J59,0)</f>
        <v/>
      </c>
      <c r="O59" s="17">
        <f>IFERROR(H59/G59,0)</f>
        <v/>
      </c>
      <c r="P59" s="16">
        <f>D59-E59</f>
        <v/>
      </c>
      <c r="Q59">
        <f>IF(M59&lt;0.06,"Below benchmark",IF(M59&lt;=0.08,"On target","Strong"))</f>
        <v/>
      </c>
    </row>
    <row r="60">
      <c r="A60" t="inlineStr">
        <is>
          <t>Dharwad Supply Co</t>
        </is>
      </c>
      <c r="B60" t="inlineStr">
        <is>
          <t>Dharwad</t>
        </is>
      </c>
      <c r="C60" s="15" t="n">
        <v>46054</v>
      </c>
      <c r="D60" s="16" t="n">
        <v>1218203</v>
      </c>
      <c r="E60" s="16" t="n">
        <v>1020807</v>
      </c>
      <c r="F60" s="17" t="n">
        <v>0.05641481738607627</v>
      </c>
      <c r="G60" s="16" t="n">
        <v>72645</v>
      </c>
      <c r="H60" s="16" t="n">
        <v>38301</v>
      </c>
      <c r="I60" s="16" t="n">
        <v>65904</v>
      </c>
      <c r="J60" s="16" t="n">
        <v>760472</v>
      </c>
      <c r="K60" s="16">
        <f>D60*F60</f>
        <v/>
      </c>
      <c r="L60" s="16">
        <f>K60+H60-I60</f>
        <v/>
      </c>
      <c r="M60" s="17">
        <f>IFERROR(L60/D60,0)</f>
        <v/>
      </c>
      <c r="N60" s="17">
        <f>IFERROR((L60*12)/J60,0)</f>
        <v/>
      </c>
      <c r="O60" s="17">
        <f>IFERROR(H60/G60,0)</f>
        <v/>
      </c>
      <c r="P60" s="16">
        <f>D60-E60</f>
        <v/>
      </c>
      <c r="Q60">
        <f>IF(M60&lt;0.06,"Below benchmark",IF(M60&lt;=0.08,"On target","Strong"))</f>
        <v/>
      </c>
    </row>
    <row r="61">
      <c r="A61" t="inlineStr">
        <is>
          <t>Dharwad Supply Co</t>
        </is>
      </c>
      <c r="B61" t="inlineStr">
        <is>
          <t>Dharwad</t>
        </is>
      </c>
      <c r="C61" s="15" t="n">
        <v>46082</v>
      </c>
      <c r="D61" s="16" t="n">
        <v>1123903</v>
      </c>
      <c r="E61" s="16" t="n">
        <v>1017698</v>
      </c>
      <c r="F61" s="17" t="n">
        <v>0.05178567816172464</v>
      </c>
      <c r="G61" s="16" t="n">
        <v>53698</v>
      </c>
      <c r="H61" s="16" t="n">
        <v>22964</v>
      </c>
      <c r="I61" s="16" t="n">
        <v>84548</v>
      </c>
      <c r="J61" s="16" t="n">
        <v>927836</v>
      </c>
      <c r="K61" s="16">
        <f>D61*F61</f>
        <v/>
      </c>
      <c r="L61" s="16">
        <f>K61+H61-I61</f>
        <v/>
      </c>
      <c r="M61" s="17">
        <f>IFERROR(L61/D61,0)</f>
        <v/>
      </c>
      <c r="N61" s="17">
        <f>IFERROR((L61*12)/J61,0)</f>
        <v/>
      </c>
      <c r="O61" s="17">
        <f>IFERROR(H61/G61,0)</f>
        <v/>
      </c>
      <c r="P61" s="16">
        <f>D61-E61</f>
        <v/>
      </c>
      <c r="Q61">
        <f>IF(M61&lt;0.06,"Below benchmark",IF(M61&lt;=0.08,"On target","Strong"))</f>
        <v/>
      </c>
    </row>
    <row r="62">
      <c r="A62" t="inlineStr">
        <is>
          <t>Shivamogga Distributors</t>
        </is>
      </c>
      <c r="B62" t="inlineStr">
        <is>
          <t>Shivamogga</t>
        </is>
      </c>
      <c r="C62" s="15" t="n">
        <v>45748</v>
      </c>
      <c r="D62" s="16" t="n">
        <v>1212479</v>
      </c>
      <c r="E62" s="16" t="n">
        <v>1125460</v>
      </c>
      <c r="F62" s="17" t="n">
        <v>0.07592817590979056</v>
      </c>
      <c r="G62" s="16" t="n">
        <v>44864</v>
      </c>
      <c r="H62" s="16" t="n">
        <v>42899</v>
      </c>
      <c r="I62" s="16" t="n">
        <v>28789</v>
      </c>
      <c r="J62" s="16" t="n">
        <v>651953</v>
      </c>
      <c r="K62" s="16">
        <f>D62*F62</f>
        <v/>
      </c>
      <c r="L62" s="16">
        <f>K62+H62-I62</f>
        <v/>
      </c>
      <c r="M62" s="17">
        <f>IFERROR(L62/D62,0)</f>
        <v/>
      </c>
      <c r="N62" s="17">
        <f>IFERROR((L62*12)/J62,0)</f>
        <v/>
      </c>
      <c r="O62" s="17">
        <f>IFERROR(H62/G62,0)</f>
        <v/>
      </c>
      <c r="P62" s="16">
        <f>D62-E62</f>
        <v/>
      </c>
      <c r="Q62">
        <f>IF(M62&lt;0.06,"Below benchmark",IF(M62&lt;=0.08,"On target","Strong"))</f>
        <v/>
      </c>
    </row>
    <row r="63">
      <c r="A63" t="inlineStr">
        <is>
          <t>Shivamogga Distributors</t>
        </is>
      </c>
      <c r="B63" t="inlineStr">
        <is>
          <t>Shivamogga</t>
        </is>
      </c>
      <c r="C63" s="15" t="n">
        <v>45778</v>
      </c>
      <c r="D63" s="16" t="n">
        <v>1049312</v>
      </c>
      <c r="E63" s="16" t="n">
        <v>1011317</v>
      </c>
      <c r="F63" s="17" t="n">
        <v>0.06882083759207873</v>
      </c>
      <c r="G63" s="16" t="n">
        <v>25055</v>
      </c>
      <c r="H63" s="16" t="n">
        <v>21165</v>
      </c>
      <c r="I63" s="16" t="n">
        <v>42643</v>
      </c>
      <c r="J63" s="16" t="n">
        <v>553303</v>
      </c>
      <c r="K63" s="16">
        <f>D63*F63</f>
        <v/>
      </c>
      <c r="L63" s="16">
        <f>K63+H63-I63</f>
        <v/>
      </c>
      <c r="M63" s="17">
        <f>IFERROR(L63/D63,0)</f>
        <v/>
      </c>
      <c r="N63" s="17">
        <f>IFERROR((L63*12)/J63,0)</f>
        <v/>
      </c>
      <c r="O63" s="17">
        <f>IFERROR(H63/G63,0)</f>
        <v/>
      </c>
      <c r="P63" s="16">
        <f>D63-E63</f>
        <v/>
      </c>
      <c r="Q63">
        <f>IF(M63&lt;0.06,"Below benchmark",IF(M63&lt;=0.08,"On target","Strong"))</f>
        <v/>
      </c>
    </row>
    <row r="64">
      <c r="A64" t="inlineStr">
        <is>
          <t>Shivamogga Distributors</t>
        </is>
      </c>
      <c r="B64" t="inlineStr">
        <is>
          <t>Shivamogga</t>
        </is>
      </c>
      <c r="C64" s="15" t="n">
        <v>45809</v>
      </c>
      <c r="D64" s="16" t="n">
        <v>1231913</v>
      </c>
      <c r="E64" s="16" t="n">
        <v>1213925</v>
      </c>
      <c r="F64" s="17" t="n">
        <v>0.0714694609943748</v>
      </c>
      <c r="G64" s="16" t="n">
        <v>35819</v>
      </c>
      <c r="H64" s="16" t="n">
        <v>31146</v>
      </c>
      <c r="I64" s="16" t="n">
        <v>46737</v>
      </c>
      <c r="J64" s="16" t="n">
        <v>515339</v>
      </c>
      <c r="K64" s="16">
        <f>D64*F64</f>
        <v/>
      </c>
      <c r="L64" s="16">
        <f>K64+H64-I64</f>
        <v/>
      </c>
      <c r="M64" s="17">
        <f>IFERROR(L64/D64,0)</f>
        <v/>
      </c>
      <c r="N64" s="17">
        <f>IFERROR((L64*12)/J64,0)</f>
        <v/>
      </c>
      <c r="O64" s="17">
        <f>IFERROR(H64/G64,0)</f>
        <v/>
      </c>
      <c r="P64" s="16">
        <f>D64-E64</f>
        <v/>
      </c>
      <c r="Q64">
        <f>IF(M64&lt;0.06,"Below benchmark",IF(M64&lt;=0.08,"On target","Strong"))</f>
        <v/>
      </c>
    </row>
    <row r="65">
      <c r="A65" t="inlineStr">
        <is>
          <t>Shivamogga Distributors</t>
        </is>
      </c>
      <c r="B65" t="inlineStr">
        <is>
          <t>Shivamogga</t>
        </is>
      </c>
      <c r="C65" s="15" t="n">
        <v>45839</v>
      </c>
      <c r="D65" s="16" t="n">
        <v>1164910</v>
      </c>
      <c r="E65" s="16" t="n">
        <v>1118337</v>
      </c>
      <c r="F65" s="17" t="n">
        <v>0.07260683756052903</v>
      </c>
      <c r="G65" s="16" t="n">
        <v>35688</v>
      </c>
      <c r="H65" s="16" t="n">
        <v>29141</v>
      </c>
      <c r="I65" s="16" t="n">
        <v>34688</v>
      </c>
      <c r="J65" s="16" t="n">
        <v>740671</v>
      </c>
      <c r="K65" s="16">
        <f>D65*F65</f>
        <v/>
      </c>
      <c r="L65" s="16">
        <f>K65+H65-I65</f>
        <v/>
      </c>
      <c r="M65" s="17">
        <f>IFERROR(L65/D65,0)</f>
        <v/>
      </c>
      <c r="N65" s="17">
        <f>IFERROR((L65*12)/J65,0)</f>
        <v/>
      </c>
      <c r="O65" s="17">
        <f>IFERROR(H65/G65,0)</f>
        <v/>
      </c>
      <c r="P65" s="16">
        <f>D65-E65</f>
        <v/>
      </c>
      <c r="Q65">
        <f>IF(M65&lt;0.06,"Below benchmark",IF(M65&lt;=0.08,"On target","Strong"))</f>
        <v/>
      </c>
    </row>
    <row r="66">
      <c r="A66" t="inlineStr">
        <is>
          <t>Shivamogga Distributors</t>
        </is>
      </c>
      <c r="B66" t="inlineStr">
        <is>
          <t>Shivamogga</t>
        </is>
      </c>
      <c r="C66" s="15" t="n">
        <v>45870</v>
      </c>
      <c r="D66" s="16" t="n">
        <v>983470</v>
      </c>
      <c r="E66" s="16" t="n">
        <v>943977</v>
      </c>
      <c r="F66" s="17" t="n">
        <v>0.06787760139485222</v>
      </c>
      <c r="G66" s="16" t="n">
        <v>37423</v>
      </c>
      <c r="H66" s="16" t="n">
        <v>33027</v>
      </c>
      <c r="I66" s="16" t="n">
        <v>30702</v>
      </c>
      <c r="J66" s="16" t="n">
        <v>748375</v>
      </c>
      <c r="K66" s="16">
        <f>D66*F66</f>
        <v/>
      </c>
      <c r="L66" s="16">
        <f>K66+H66-I66</f>
        <v/>
      </c>
      <c r="M66" s="17">
        <f>IFERROR(L66/D66,0)</f>
        <v/>
      </c>
      <c r="N66" s="17">
        <f>IFERROR((L66*12)/J66,0)</f>
        <v/>
      </c>
      <c r="O66" s="17">
        <f>IFERROR(H66/G66,0)</f>
        <v/>
      </c>
      <c r="P66" s="16">
        <f>D66-E66</f>
        <v/>
      </c>
      <c r="Q66">
        <f>IF(M66&lt;0.06,"Below benchmark",IF(M66&lt;=0.08,"On target","Strong"))</f>
        <v/>
      </c>
    </row>
    <row r="67">
      <c r="A67" t="inlineStr">
        <is>
          <t>Shivamogga Distributors</t>
        </is>
      </c>
      <c r="B67" t="inlineStr">
        <is>
          <t>Shivamogga</t>
        </is>
      </c>
      <c r="C67" s="15" t="n">
        <v>45901</v>
      </c>
      <c r="D67" s="16" t="n">
        <v>1165568</v>
      </c>
      <c r="E67" s="16" t="n">
        <v>1136469</v>
      </c>
      <c r="F67" s="17" t="n">
        <v>0.07109112753137245</v>
      </c>
      <c r="G67" s="16" t="n">
        <v>34957</v>
      </c>
      <c r="H67" s="16" t="n">
        <v>27576</v>
      </c>
      <c r="I67" s="16" t="n">
        <v>39086</v>
      </c>
      <c r="J67" s="16" t="n">
        <v>618951</v>
      </c>
      <c r="K67" s="16">
        <f>D67*F67</f>
        <v/>
      </c>
      <c r="L67" s="16">
        <f>K67+H67-I67</f>
        <v/>
      </c>
      <c r="M67" s="17">
        <f>IFERROR(L67/D67,0)</f>
        <v/>
      </c>
      <c r="N67" s="17">
        <f>IFERROR((L67*12)/J67,0)</f>
        <v/>
      </c>
      <c r="O67" s="17">
        <f>IFERROR(H67/G67,0)</f>
        <v/>
      </c>
      <c r="P67" s="16">
        <f>D67-E67</f>
        <v/>
      </c>
      <c r="Q67">
        <f>IF(M67&lt;0.06,"Below benchmark",IF(M67&lt;=0.08,"On target","Strong"))</f>
        <v/>
      </c>
    </row>
    <row r="68">
      <c r="A68" t="inlineStr">
        <is>
          <t>Shivamogga Distributors</t>
        </is>
      </c>
      <c r="B68" t="inlineStr">
        <is>
          <t>Shivamogga</t>
        </is>
      </c>
      <c r="C68" s="15" t="n">
        <v>45931</v>
      </c>
      <c r="D68" s="16" t="n">
        <v>1337575</v>
      </c>
      <c r="E68" s="16" t="n">
        <v>1285150</v>
      </c>
      <c r="F68" s="17" t="n">
        <v>0.07162679025256929</v>
      </c>
      <c r="G68" s="16" t="n">
        <v>41750</v>
      </c>
      <c r="H68" s="16" t="n">
        <v>34801</v>
      </c>
      <c r="I68" s="16" t="n">
        <v>30560</v>
      </c>
      <c r="J68" s="16" t="n">
        <v>494457</v>
      </c>
      <c r="K68" s="16">
        <f>D68*F68</f>
        <v/>
      </c>
      <c r="L68" s="16">
        <f>K68+H68-I68</f>
        <v/>
      </c>
      <c r="M68" s="17">
        <f>IFERROR(L68/D68,0)</f>
        <v/>
      </c>
      <c r="N68" s="17">
        <f>IFERROR((L68*12)/J68,0)</f>
        <v/>
      </c>
      <c r="O68" s="17">
        <f>IFERROR(H68/G68,0)</f>
        <v/>
      </c>
      <c r="P68" s="16">
        <f>D68-E68</f>
        <v/>
      </c>
      <c r="Q68">
        <f>IF(M68&lt;0.06,"Below benchmark",IF(M68&lt;=0.08,"On target","Strong"))</f>
        <v/>
      </c>
    </row>
    <row r="69">
      <c r="A69" t="inlineStr">
        <is>
          <t>Shivamogga Distributors</t>
        </is>
      </c>
      <c r="B69" t="inlineStr">
        <is>
          <t>Shivamogga</t>
        </is>
      </c>
      <c r="C69" s="15" t="n">
        <v>45962</v>
      </c>
      <c r="D69" s="16" t="n">
        <v>1147571</v>
      </c>
      <c r="E69" s="16" t="n">
        <v>1098184</v>
      </c>
      <c r="F69" s="17" t="n">
        <v>0.07273178014872825</v>
      </c>
      <c r="G69" s="16" t="n">
        <v>35983</v>
      </c>
      <c r="H69" s="16" t="n">
        <v>26714</v>
      </c>
      <c r="I69" s="16" t="n">
        <v>32696</v>
      </c>
      <c r="J69" s="16" t="n">
        <v>612749</v>
      </c>
      <c r="K69" s="16">
        <f>D69*F69</f>
        <v/>
      </c>
      <c r="L69" s="16">
        <f>K69+H69-I69</f>
        <v/>
      </c>
      <c r="M69" s="17">
        <f>IFERROR(L69/D69,0)</f>
        <v/>
      </c>
      <c r="N69" s="17">
        <f>IFERROR((L69*12)/J69,0)</f>
        <v/>
      </c>
      <c r="O69" s="17">
        <f>IFERROR(H69/G69,0)</f>
        <v/>
      </c>
      <c r="P69" s="16">
        <f>D69-E69</f>
        <v/>
      </c>
      <c r="Q69">
        <f>IF(M69&lt;0.06,"Below benchmark",IF(M69&lt;=0.08,"On target","Strong"))</f>
        <v/>
      </c>
    </row>
    <row r="70">
      <c r="A70" t="inlineStr">
        <is>
          <t>Shivamogga Distributors</t>
        </is>
      </c>
      <c r="B70" t="inlineStr">
        <is>
          <t>Shivamogga</t>
        </is>
      </c>
      <c r="C70" s="15" t="n">
        <v>45992</v>
      </c>
      <c r="D70" s="16" t="n">
        <v>1085552</v>
      </c>
      <c r="E70" s="16" t="n">
        <v>991393</v>
      </c>
      <c r="F70" s="17" t="n">
        <v>0.077098443418644</v>
      </c>
      <c r="G70" s="16" t="n">
        <v>26514</v>
      </c>
      <c r="H70" s="16" t="n">
        <v>20648</v>
      </c>
      <c r="I70" s="16" t="n">
        <v>40569</v>
      </c>
      <c r="J70" s="16" t="n">
        <v>488182</v>
      </c>
      <c r="K70" s="16">
        <f>D70*F70</f>
        <v/>
      </c>
      <c r="L70" s="16">
        <f>K70+H70-I70</f>
        <v/>
      </c>
      <c r="M70" s="17">
        <f>IFERROR(L70/D70,0)</f>
        <v/>
      </c>
      <c r="N70" s="17">
        <f>IFERROR((L70*12)/J70,0)</f>
        <v/>
      </c>
      <c r="O70" s="17">
        <f>IFERROR(H70/G70,0)</f>
        <v/>
      </c>
      <c r="P70" s="16">
        <f>D70-E70</f>
        <v/>
      </c>
      <c r="Q70">
        <f>IF(M70&lt;0.06,"Below benchmark",IF(M70&lt;=0.08,"On target","Strong"))</f>
        <v/>
      </c>
    </row>
    <row r="71">
      <c r="A71" t="inlineStr">
        <is>
          <t>Shivamogga Distributors</t>
        </is>
      </c>
      <c r="B71" t="inlineStr">
        <is>
          <t>Shivamogga</t>
        </is>
      </c>
      <c r="C71" s="15" t="n">
        <v>46023</v>
      </c>
      <c r="D71" s="16" t="n">
        <v>1327538</v>
      </c>
      <c r="E71" s="16" t="n">
        <v>1270027</v>
      </c>
      <c r="F71" s="17" t="n">
        <v>0.07121661516496579</v>
      </c>
      <c r="G71" s="16" t="n">
        <v>31371</v>
      </c>
      <c r="H71" s="16" t="n">
        <v>27995</v>
      </c>
      <c r="I71" s="16" t="n">
        <v>37582</v>
      </c>
      <c r="J71" s="16" t="n">
        <v>709196</v>
      </c>
      <c r="K71" s="16">
        <f>D71*F71</f>
        <v/>
      </c>
      <c r="L71" s="16">
        <f>K71+H71-I71</f>
        <v/>
      </c>
      <c r="M71" s="17">
        <f>IFERROR(L71/D71,0)</f>
        <v/>
      </c>
      <c r="N71" s="17">
        <f>IFERROR((L71*12)/J71,0)</f>
        <v/>
      </c>
      <c r="O71" s="17">
        <f>IFERROR(H71/G71,0)</f>
        <v/>
      </c>
      <c r="P71" s="16">
        <f>D71-E71</f>
        <v/>
      </c>
      <c r="Q71">
        <f>IF(M71&lt;0.06,"Below benchmark",IF(M71&lt;=0.08,"On target","Strong"))</f>
        <v/>
      </c>
    </row>
    <row r="72">
      <c r="A72" t="inlineStr">
        <is>
          <t>Shivamogga Distributors</t>
        </is>
      </c>
      <c r="B72" t="inlineStr">
        <is>
          <t>Shivamogga</t>
        </is>
      </c>
      <c r="C72" s="15" t="n">
        <v>46054</v>
      </c>
      <c r="D72" s="16" t="n">
        <v>1269066</v>
      </c>
      <c r="E72" s="16" t="n">
        <v>1217091</v>
      </c>
      <c r="F72" s="17" t="n">
        <v>0.06865976659367659</v>
      </c>
      <c r="G72" s="16" t="n">
        <v>25181</v>
      </c>
      <c r="H72" s="16" t="n">
        <v>23525</v>
      </c>
      <c r="I72" s="16" t="n">
        <v>28492</v>
      </c>
      <c r="J72" s="16" t="n">
        <v>672899</v>
      </c>
      <c r="K72" s="16">
        <f>D72*F72</f>
        <v/>
      </c>
      <c r="L72" s="16">
        <f>K72+H72-I72</f>
        <v/>
      </c>
      <c r="M72" s="17">
        <f>IFERROR(L72/D72,0)</f>
        <v/>
      </c>
      <c r="N72" s="17">
        <f>IFERROR((L72*12)/J72,0)</f>
        <v/>
      </c>
      <c r="O72" s="17">
        <f>IFERROR(H72/G72,0)</f>
        <v/>
      </c>
      <c r="P72" s="16">
        <f>D72-E72</f>
        <v/>
      </c>
      <c r="Q72">
        <f>IF(M72&lt;0.06,"Below benchmark",IF(M72&lt;=0.08,"On target","Strong"))</f>
        <v/>
      </c>
    </row>
    <row r="73">
      <c r="A73" t="inlineStr">
        <is>
          <t>Shivamogga Distributors</t>
        </is>
      </c>
      <c r="B73" t="inlineStr">
        <is>
          <t>Shivamogga</t>
        </is>
      </c>
      <c r="C73" s="15" t="n">
        <v>46082</v>
      </c>
      <c r="D73" s="16" t="n">
        <v>1079471</v>
      </c>
      <c r="E73" s="16" t="n">
        <v>1064592</v>
      </c>
      <c r="F73" s="17" t="n">
        <v>0.06763830022559798</v>
      </c>
      <c r="G73" s="16" t="n">
        <v>41972</v>
      </c>
      <c r="H73" s="16" t="n">
        <v>34899</v>
      </c>
      <c r="I73" s="16" t="n">
        <v>43265</v>
      </c>
      <c r="J73" s="16" t="n">
        <v>580651</v>
      </c>
      <c r="K73" s="16">
        <f>D73*F73</f>
        <v/>
      </c>
      <c r="L73" s="16">
        <f>K73+H73-I73</f>
        <v/>
      </c>
      <c r="M73" s="17">
        <f>IFERROR(L73/D73,0)</f>
        <v/>
      </c>
      <c r="N73" s="17">
        <f>IFERROR((L73*12)/J73,0)</f>
        <v/>
      </c>
      <c r="O73" s="17">
        <f>IFERROR(H73/G73,0)</f>
        <v/>
      </c>
      <c r="P73" s="16">
        <f>D73-E73</f>
        <v/>
      </c>
      <c r="Q73">
        <f>IF(M73&lt;0.06,"Below benchmark",IF(M73&lt;=0.08,"On target","Strong"))</f>
        <v/>
      </c>
    </row>
    <row r="74">
      <c r="A74" t="inlineStr">
        <is>
          <t>Tumakuru Trade Links</t>
        </is>
      </c>
      <c r="B74" t="inlineStr">
        <is>
          <t>Tumakuru</t>
        </is>
      </c>
      <c r="C74" s="15" t="n">
        <v>45748</v>
      </c>
      <c r="D74" s="16" t="n">
        <v>977253</v>
      </c>
      <c r="E74" s="16" t="n">
        <v>950014</v>
      </c>
      <c r="F74" s="17" t="n">
        <v>0.07184692738205259</v>
      </c>
      <c r="G74" s="16" t="n">
        <v>46875</v>
      </c>
      <c r="H74" s="16" t="n">
        <v>39725</v>
      </c>
      <c r="I74" s="16" t="n">
        <v>43314</v>
      </c>
      <c r="J74" s="16" t="n">
        <v>616355</v>
      </c>
      <c r="K74" s="16">
        <f>D74*F74</f>
        <v/>
      </c>
      <c r="L74" s="16">
        <f>K74+H74-I74</f>
        <v/>
      </c>
      <c r="M74" s="17">
        <f>IFERROR(L74/D74,0)</f>
        <v/>
      </c>
      <c r="N74" s="17">
        <f>IFERROR((L74*12)/J74,0)</f>
        <v/>
      </c>
      <c r="O74" s="17">
        <f>IFERROR(H74/G74,0)</f>
        <v/>
      </c>
      <c r="P74" s="16">
        <f>D74-E74</f>
        <v/>
      </c>
      <c r="Q74">
        <f>IF(M74&lt;0.06,"Below benchmark",IF(M74&lt;=0.08,"On target","Strong"))</f>
        <v/>
      </c>
    </row>
    <row r="75">
      <c r="A75" t="inlineStr">
        <is>
          <t>Tumakuru Trade Links</t>
        </is>
      </c>
      <c r="B75" t="inlineStr">
        <is>
          <t>Tumakuru</t>
        </is>
      </c>
      <c r="C75" s="15" t="n">
        <v>45778</v>
      </c>
      <c r="D75" s="16" t="n">
        <v>1314071</v>
      </c>
      <c r="E75" s="16" t="n">
        <v>1267729</v>
      </c>
      <c r="F75" s="17" t="n">
        <v>0.07418978484142644</v>
      </c>
      <c r="G75" s="16" t="n">
        <v>41540</v>
      </c>
      <c r="H75" s="16" t="n">
        <v>34163</v>
      </c>
      <c r="I75" s="16" t="n">
        <v>42952</v>
      </c>
      <c r="J75" s="16" t="n">
        <v>683787</v>
      </c>
      <c r="K75" s="16">
        <f>D75*F75</f>
        <v/>
      </c>
      <c r="L75" s="16">
        <f>K75+H75-I75</f>
        <v/>
      </c>
      <c r="M75" s="17">
        <f>IFERROR(L75/D75,0)</f>
        <v/>
      </c>
      <c r="N75" s="17">
        <f>IFERROR((L75*12)/J75,0)</f>
        <v/>
      </c>
      <c r="O75" s="17">
        <f>IFERROR(H75/G75,0)</f>
        <v/>
      </c>
      <c r="P75" s="16">
        <f>D75-E75</f>
        <v/>
      </c>
      <c r="Q75">
        <f>IF(M75&lt;0.06,"Below benchmark",IF(M75&lt;=0.08,"On target","Strong"))</f>
        <v/>
      </c>
    </row>
    <row r="76">
      <c r="A76" t="inlineStr">
        <is>
          <t>Tumakuru Trade Links</t>
        </is>
      </c>
      <c r="B76" t="inlineStr">
        <is>
          <t>Tumakuru</t>
        </is>
      </c>
      <c r="C76" s="15" t="n">
        <v>45809</v>
      </c>
      <c r="D76" s="16" t="n">
        <v>1016889</v>
      </c>
      <c r="E76" s="16" t="n">
        <v>958642</v>
      </c>
      <c r="F76" s="17" t="n">
        <v>0.07615483163239378</v>
      </c>
      <c r="G76" s="16" t="n">
        <v>33493</v>
      </c>
      <c r="H76" s="16" t="n">
        <v>30157</v>
      </c>
      <c r="I76" s="16" t="n">
        <v>45894</v>
      </c>
      <c r="J76" s="16" t="n">
        <v>595391</v>
      </c>
      <c r="K76" s="16">
        <f>D76*F76</f>
        <v/>
      </c>
      <c r="L76" s="16">
        <f>K76+H76-I76</f>
        <v/>
      </c>
      <c r="M76" s="17">
        <f>IFERROR(L76/D76,0)</f>
        <v/>
      </c>
      <c r="N76" s="17">
        <f>IFERROR((L76*12)/J76,0)</f>
        <v/>
      </c>
      <c r="O76" s="17">
        <f>IFERROR(H76/G76,0)</f>
        <v/>
      </c>
      <c r="P76" s="16">
        <f>D76-E76</f>
        <v/>
      </c>
      <c r="Q76">
        <f>IF(M76&lt;0.06,"Below benchmark",IF(M76&lt;=0.08,"On target","Strong"))</f>
        <v/>
      </c>
    </row>
    <row r="77">
      <c r="A77" t="inlineStr">
        <is>
          <t>Tumakuru Trade Links</t>
        </is>
      </c>
      <c r="B77" t="inlineStr">
        <is>
          <t>Tumakuru</t>
        </is>
      </c>
      <c r="C77" s="15" t="n">
        <v>45839</v>
      </c>
      <c r="D77" s="16" t="n">
        <v>1396622</v>
      </c>
      <c r="E77" s="16" t="n">
        <v>1287032</v>
      </c>
      <c r="F77" s="17" t="n">
        <v>0.07226895525605401</v>
      </c>
      <c r="G77" s="16" t="n">
        <v>39413</v>
      </c>
      <c r="H77" s="16" t="n">
        <v>29110</v>
      </c>
      <c r="I77" s="16" t="n">
        <v>34362</v>
      </c>
      <c r="J77" s="16" t="n">
        <v>572942</v>
      </c>
      <c r="K77" s="16">
        <f>D77*F77</f>
        <v/>
      </c>
      <c r="L77" s="16">
        <f>K77+H77-I77</f>
        <v/>
      </c>
      <c r="M77" s="17">
        <f>IFERROR(L77/D77,0)</f>
        <v/>
      </c>
      <c r="N77" s="17">
        <f>IFERROR((L77*12)/J77,0)</f>
        <v/>
      </c>
      <c r="O77" s="17">
        <f>IFERROR(H77/G77,0)</f>
        <v/>
      </c>
      <c r="P77" s="16">
        <f>D77-E77</f>
        <v/>
      </c>
      <c r="Q77">
        <f>IF(M77&lt;0.06,"Below benchmark",IF(M77&lt;=0.08,"On target","Strong"))</f>
        <v/>
      </c>
    </row>
    <row r="78">
      <c r="A78" t="inlineStr">
        <is>
          <t>Tumakuru Trade Links</t>
        </is>
      </c>
      <c r="B78" t="inlineStr">
        <is>
          <t>Tumakuru</t>
        </is>
      </c>
      <c r="C78" s="15" t="n">
        <v>45870</v>
      </c>
      <c r="D78" s="16" t="n">
        <v>1134913</v>
      </c>
      <c r="E78" s="16" t="n">
        <v>1112637</v>
      </c>
      <c r="F78" s="17" t="n">
        <v>0.07003771304931972</v>
      </c>
      <c r="G78" s="16" t="n">
        <v>27640</v>
      </c>
      <c r="H78" s="16" t="n">
        <v>20818</v>
      </c>
      <c r="I78" s="16" t="n">
        <v>32577</v>
      </c>
      <c r="J78" s="16" t="n">
        <v>650820</v>
      </c>
      <c r="K78" s="16">
        <f>D78*F78</f>
        <v/>
      </c>
      <c r="L78" s="16">
        <f>K78+H78-I78</f>
        <v/>
      </c>
      <c r="M78" s="17">
        <f>IFERROR(L78/D78,0)</f>
        <v/>
      </c>
      <c r="N78" s="17">
        <f>IFERROR((L78*12)/J78,0)</f>
        <v/>
      </c>
      <c r="O78" s="17">
        <f>IFERROR(H78/G78,0)</f>
        <v/>
      </c>
      <c r="P78" s="16">
        <f>D78-E78</f>
        <v/>
      </c>
      <c r="Q78">
        <f>IF(M78&lt;0.06,"Below benchmark",IF(M78&lt;=0.08,"On target","Strong"))</f>
        <v/>
      </c>
    </row>
    <row r="79">
      <c r="A79" t="inlineStr">
        <is>
          <t>Tumakuru Trade Links</t>
        </is>
      </c>
      <c r="B79" t="inlineStr">
        <is>
          <t>Tumakuru</t>
        </is>
      </c>
      <c r="C79" s="15" t="n">
        <v>45901</v>
      </c>
      <c r="D79" s="16" t="n">
        <v>1010227</v>
      </c>
      <c r="E79" s="16" t="n">
        <v>915044</v>
      </c>
      <c r="F79" s="17" t="n">
        <v>0.07559628712541828</v>
      </c>
      <c r="G79" s="16" t="n">
        <v>38356</v>
      </c>
      <c r="H79" s="16" t="n">
        <v>30662</v>
      </c>
      <c r="I79" s="16" t="n">
        <v>40267</v>
      </c>
      <c r="J79" s="16" t="n">
        <v>667985</v>
      </c>
      <c r="K79" s="16">
        <f>D79*F79</f>
        <v/>
      </c>
      <c r="L79" s="16">
        <f>K79+H79-I79</f>
        <v/>
      </c>
      <c r="M79" s="17">
        <f>IFERROR(L79/D79,0)</f>
        <v/>
      </c>
      <c r="N79" s="17">
        <f>IFERROR((L79*12)/J79,0)</f>
        <v/>
      </c>
      <c r="O79" s="17">
        <f>IFERROR(H79/G79,0)</f>
        <v/>
      </c>
      <c r="P79" s="16">
        <f>D79-E79</f>
        <v/>
      </c>
      <c r="Q79">
        <f>IF(M79&lt;0.06,"Below benchmark",IF(M79&lt;=0.08,"On target","Strong"))</f>
        <v/>
      </c>
    </row>
    <row r="80">
      <c r="A80" t="inlineStr">
        <is>
          <t>Tumakuru Trade Links</t>
        </is>
      </c>
      <c r="B80" t="inlineStr">
        <is>
          <t>Tumakuru</t>
        </is>
      </c>
      <c r="C80" s="15" t="n">
        <v>45931</v>
      </c>
      <c r="D80" s="16" t="n">
        <v>915290</v>
      </c>
      <c r="E80" s="16" t="n">
        <v>858370</v>
      </c>
      <c r="F80" s="17" t="n">
        <v>0.06810251584271615</v>
      </c>
      <c r="G80" s="16" t="n">
        <v>54649</v>
      </c>
      <c r="H80" s="16" t="n">
        <v>49443</v>
      </c>
      <c r="I80" s="16" t="n">
        <v>47790</v>
      </c>
      <c r="J80" s="16" t="n">
        <v>460240</v>
      </c>
      <c r="K80" s="16">
        <f>D80*F80</f>
        <v/>
      </c>
      <c r="L80" s="16">
        <f>K80+H80-I80</f>
        <v/>
      </c>
      <c r="M80" s="17">
        <f>IFERROR(L80/D80,0)</f>
        <v/>
      </c>
      <c r="N80" s="17">
        <f>IFERROR((L80*12)/J80,0)</f>
        <v/>
      </c>
      <c r="O80" s="17">
        <f>IFERROR(H80/G80,0)</f>
        <v/>
      </c>
      <c r="P80" s="16">
        <f>D80-E80</f>
        <v/>
      </c>
      <c r="Q80">
        <f>IF(M80&lt;0.06,"Below benchmark",IF(M80&lt;=0.08,"On target","Strong"))</f>
        <v/>
      </c>
    </row>
    <row r="81">
      <c r="A81" t="inlineStr">
        <is>
          <t>Tumakuru Trade Links</t>
        </is>
      </c>
      <c r="B81" t="inlineStr">
        <is>
          <t>Tumakuru</t>
        </is>
      </c>
      <c r="C81" s="15" t="n">
        <v>45962</v>
      </c>
      <c r="D81" s="16" t="n">
        <v>1248858</v>
      </c>
      <c r="E81" s="16" t="n">
        <v>1229933</v>
      </c>
      <c r="F81" s="17" t="n">
        <v>0.07215469598836036</v>
      </c>
      <c r="G81" s="16" t="n">
        <v>34784</v>
      </c>
      <c r="H81" s="16" t="n">
        <v>31334</v>
      </c>
      <c r="I81" s="16" t="n">
        <v>38730</v>
      </c>
      <c r="J81" s="16" t="n">
        <v>732182</v>
      </c>
      <c r="K81" s="16">
        <f>D81*F81</f>
        <v/>
      </c>
      <c r="L81" s="16">
        <f>K81+H81-I81</f>
        <v/>
      </c>
      <c r="M81" s="17">
        <f>IFERROR(L81/D81,0)</f>
        <v/>
      </c>
      <c r="N81" s="17">
        <f>IFERROR((L81*12)/J81,0)</f>
        <v/>
      </c>
      <c r="O81" s="17">
        <f>IFERROR(H81/G81,0)</f>
        <v/>
      </c>
      <c r="P81" s="16">
        <f>D81-E81</f>
        <v/>
      </c>
      <c r="Q81">
        <f>IF(M81&lt;0.06,"Below benchmark",IF(M81&lt;=0.08,"On target","Strong"))</f>
        <v/>
      </c>
    </row>
    <row r="82">
      <c r="A82" t="inlineStr">
        <is>
          <t>Tumakuru Trade Links</t>
        </is>
      </c>
      <c r="B82" t="inlineStr">
        <is>
          <t>Tumakuru</t>
        </is>
      </c>
      <c r="C82" s="15" t="n">
        <v>45992</v>
      </c>
      <c r="D82" s="16" t="n">
        <v>1422661</v>
      </c>
      <c r="E82" s="16" t="n">
        <v>1395350</v>
      </c>
      <c r="F82" s="17" t="n">
        <v>0.07699802256411901</v>
      </c>
      <c r="G82" s="16" t="n">
        <v>40998</v>
      </c>
      <c r="H82" s="16" t="n">
        <v>31677</v>
      </c>
      <c r="I82" s="16" t="n">
        <v>39281</v>
      </c>
      <c r="J82" s="16" t="n">
        <v>704616</v>
      </c>
      <c r="K82" s="16">
        <f>D82*F82</f>
        <v/>
      </c>
      <c r="L82" s="16">
        <f>K82+H82-I82</f>
        <v/>
      </c>
      <c r="M82" s="17">
        <f>IFERROR(L82/D82,0)</f>
        <v/>
      </c>
      <c r="N82" s="17">
        <f>IFERROR((L82*12)/J82,0)</f>
        <v/>
      </c>
      <c r="O82" s="17">
        <f>IFERROR(H82/G82,0)</f>
        <v/>
      </c>
      <c r="P82" s="16">
        <f>D82-E82</f>
        <v/>
      </c>
      <c r="Q82">
        <f>IF(M82&lt;0.06,"Below benchmark",IF(M82&lt;=0.08,"On target","Strong"))</f>
        <v/>
      </c>
    </row>
    <row r="83">
      <c r="A83" t="inlineStr">
        <is>
          <t>Tumakuru Trade Links</t>
        </is>
      </c>
      <c r="B83" t="inlineStr">
        <is>
          <t>Tumakuru</t>
        </is>
      </c>
      <c r="C83" s="15" t="n">
        <v>46023</v>
      </c>
      <c r="D83" s="16" t="n">
        <v>880434</v>
      </c>
      <c r="E83" s="16" t="n">
        <v>845391</v>
      </c>
      <c r="F83" s="17" t="n">
        <v>0.07083285804869192</v>
      </c>
      <c r="G83" s="16" t="n">
        <v>51153</v>
      </c>
      <c r="H83" s="16" t="n">
        <v>41793</v>
      </c>
      <c r="I83" s="16" t="n">
        <v>30408</v>
      </c>
      <c r="J83" s="16" t="n">
        <v>695047</v>
      </c>
      <c r="K83" s="16">
        <f>D83*F83</f>
        <v/>
      </c>
      <c r="L83" s="16">
        <f>K83+H83-I83</f>
        <v/>
      </c>
      <c r="M83" s="17">
        <f>IFERROR(L83/D83,0)</f>
        <v/>
      </c>
      <c r="N83" s="17">
        <f>IFERROR((L83*12)/J83,0)</f>
        <v/>
      </c>
      <c r="O83" s="17">
        <f>IFERROR(H83/G83,0)</f>
        <v/>
      </c>
      <c r="P83" s="16">
        <f>D83-E83</f>
        <v/>
      </c>
      <c r="Q83">
        <f>IF(M83&lt;0.06,"Below benchmark",IF(M83&lt;=0.08,"On target","Strong"))</f>
        <v/>
      </c>
    </row>
    <row r="84">
      <c r="A84" t="inlineStr">
        <is>
          <t>Tumakuru Trade Links</t>
        </is>
      </c>
      <c r="B84" t="inlineStr">
        <is>
          <t>Tumakuru</t>
        </is>
      </c>
      <c r="C84" s="15" t="n">
        <v>46054</v>
      </c>
      <c r="D84" s="16" t="n">
        <v>983827</v>
      </c>
      <c r="E84" s="16" t="n">
        <v>932737</v>
      </c>
      <c r="F84" s="17" t="n">
        <v>0.07971082966278385</v>
      </c>
      <c r="G84" s="16" t="n">
        <v>54718</v>
      </c>
      <c r="H84" s="16" t="n">
        <v>44571</v>
      </c>
      <c r="I84" s="16" t="n">
        <v>43493</v>
      </c>
      <c r="J84" s="16" t="n">
        <v>464209</v>
      </c>
      <c r="K84" s="16">
        <f>D84*F84</f>
        <v/>
      </c>
      <c r="L84" s="16">
        <f>K84+H84-I84</f>
        <v/>
      </c>
      <c r="M84" s="17">
        <f>IFERROR(L84/D84,0)</f>
        <v/>
      </c>
      <c r="N84" s="17">
        <f>IFERROR((L84*12)/J84,0)</f>
        <v/>
      </c>
      <c r="O84" s="17">
        <f>IFERROR(H84/G84,0)</f>
        <v/>
      </c>
      <c r="P84" s="16">
        <f>D84-E84</f>
        <v/>
      </c>
      <c r="Q84">
        <f>IF(M84&lt;0.06,"Below benchmark",IF(M84&lt;=0.08,"On target","Strong"))</f>
        <v/>
      </c>
    </row>
    <row r="85">
      <c r="A85" t="inlineStr">
        <is>
          <t>Tumakuru Trade Links</t>
        </is>
      </c>
      <c r="B85" t="inlineStr">
        <is>
          <t>Tumakuru</t>
        </is>
      </c>
      <c r="C85" s="15" t="n">
        <v>46082</v>
      </c>
      <c r="D85" s="16" t="n">
        <v>938025</v>
      </c>
      <c r="E85" s="16" t="n">
        <v>855678</v>
      </c>
      <c r="F85" s="17" t="n">
        <v>0.07464124472014004</v>
      </c>
      <c r="G85" s="16" t="n">
        <v>40128</v>
      </c>
      <c r="H85" s="16" t="n">
        <v>30642</v>
      </c>
      <c r="I85" s="16" t="n">
        <v>33524</v>
      </c>
      <c r="J85" s="16" t="n">
        <v>648759</v>
      </c>
      <c r="K85" s="16">
        <f>D85*F85</f>
        <v/>
      </c>
      <c r="L85" s="16">
        <f>K85+H85-I85</f>
        <v/>
      </c>
      <c r="M85" s="17">
        <f>IFERROR(L85/D85,0)</f>
        <v/>
      </c>
      <c r="N85" s="17">
        <f>IFERROR((L85*12)/J85,0)</f>
        <v/>
      </c>
      <c r="O85" s="17">
        <f>IFERROR(H85/G85,0)</f>
        <v/>
      </c>
      <c r="P85" s="16">
        <f>D85-E85</f>
        <v/>
      </c>
      <c r="Q85">
        <f>IF(M85&lt;0.06,"Below benchmark",IF(M85&lt;=0.08,"On target","Strong"))</f>
        <v/>
      </c>
    </row>
    <row r="86">
      <c r="A86" t="inlineStr">
        <is>
          <t>Udupi Sales Network</t>
        </is>
      </c>
      <c r="B86" t="inlineStr">
        <is>
          <t>Udupi</t>
        </is>
      </c>
      <c r="C86" s="15" t="n">
        <v>45748</v>
      </c>
      <c r="D86" s="16" t="n">
        <v>1193254</v>
      </c>
      <c r="E86" s="16" t="n">
        <v>1109029</v>
      </c>
      <c r="F86" s="17" t="n">
        <v>0.06817490426317223</v>
      </c>
      <c r="G86" s="16" t="n">
        <v>49943</v>
      </c>
      <c r="H86" s="16" t="n">
        <v>46502</v>
      </c>
      <c r="I86" s="16" t="n">
        <v>34117</v>
      </c>
      <c r="J86" s="16" t="n">
        <v>671021</v>
      </c>
      <c r="K86" s="16">
        <f>D86*F86</f>
        <v/>
      </c>
      <c r="L86" s="16">
        <f>K86+H86-I86</f>
        <v/>
      </c>
      <c r="M86" s="17">
        <f>IFERROR(L86/D86,0)</f>
        <v/>
      </c>
      <c r="N86" s="17">
        <f>IFERROR((L86*12)/J86,0)</f>
        <v/>
      </c>
      <c r="O86" s="17">
        <f>IFERROR(H86/G86,0)</f>
        <v/>
      </c>
      <c r="P86" s="16">
        <f>D86-E86</f>
        <v/>
      </c>
      <c r="Q86">
        <f>IF(M86&lt;0.06,"Below benchmark",IF(M86&lt;=0.08,"On target","Strong"))</f>
        <v/>
      </c>
    </row>
    <row r="87">
      <c r="A87" t="inlineStr">
        <is>
          <t>Udupi Sales Network</t>
        </is>
      </c>
      <c r="B87" t="inlineStr">
        <is>
          <t>Udupi</t>
        </is>
      </c>
      <c r="C87" s="15" t="n">
        <v>45778</v>
      </c>
      <c r="D87" s="16" t="n">
        <v>1114525</v>
      </c>
      <c r="E87" s="16" t="n">
        <v>1050247</v>
      </c>
      <c r="F87" s="17" t="n">
        <v>0.07752366372368182</v>
      </c>
      <c r="G87" s="16" t="n">
        <v>49544</v>
      </c>
      <c r="H87" s="16" t="n">
        <v>42085</v>
      </c>
      <c r="I87" s="16" t="n">
        <v>36467</v>
      </c>
      <c r="J87" s="16" t="n">
        <v>567556</v>
      </c>
      <c r="K87" s="16">
        <f>D87*F87</f>
        <v/>
      </c>
      <c r="L87" s="16">
        <f>K87+H87-I87</f>
        <v/>
      </c>
      <c r="M87" s="17">
        <f>IFERROR(L87/D87,0)</f>
        <v/>
      </c>
      <c r="N87" s="17">
        <f>IFERROR((L87*12)/J87,0)</f>
        <v/>
      </c>
      <c r="O87" s="17">
        <f>IFERROR(H87/G87,0)</f>
        <v/>
      </c>
      <c r="P87" s="16">
        <f>D87-E87</f>
        <v/>
      </c>
      <c r="Q87">
        <f>IF(M87&lt;0.06,"Below benchmark",IF(M87&lt;=0.08,"On target","Strong"))</f>
        <v/>
      </c>
    </row>
    <row r="88">
      <c r="A88" t="inlineStr">
        <is>
          <t>Udupi Sales Network</t>
        </is>
      </c>
      <c r="B88" t="inlineStr">
        <is>
          <t>Udupi</t>
        </is>
      </c>
      <c r="C88" s="15" t="n">
        <v>45809</v>
      </c>
      <c r="D88" s="16" t="n">
        <v>921951</v>
      </c>
      <c r="E88" s="16" t="n">
        <v>883835</v>
      </c>
      <c r="F88" s="17" t="n">
        <v>0.07671849574416342</v>
      </c>
      <c r="G88" s="16" t="n">
        <v>49714</v>
      </c>
      <c r="H88" s="16" t="n">
        <v>36164</v>
      </c>
      <c r="I88" s="16" t="n">
        <v>33102</v>
      </c>
      <c r="J88" s="16" t="n">
        <v>554522</v>
      </c>
      <c r="K88" s="16">
        <f>D88*F88</f>
        <v/>
      </c>
      <c r="L88" s="16">
        <f>K88+H88-I88</f>
        <v/>
      </c>
      <c r="M88" s="17">
        <f>IFERROR(L88/D88,0)</f>
        <v/>
      </c>
      <c r="N88" s="17">
        <f>IFERROR((L88*12)/J88,0)</f>
        <v/>
      </c>
      <c r="O88" s="17">
        <f>IFERROR(H88/G88,0)</f>
        <v/>
      </c>
      <c r="P88" s="16">
        <f>D88-E88</f>
        <v/>
      </c>
      <c r="Q88">
        <f>IF(M88&lt;0.06,"Below benchmark",IF(M88&lt;=0.08,"On target","Strong"))</f>
        <v/>
      </c>
    </row>
    <row r="89">
      <c r="A89" t="inlineStr">
        <is>
          <t>Udupi Sales Network</t>
        </is>
      </c>
      <c r="B89" t="inlineStr">
        <is>
          <t>Udupi</t>
        </is>
      </c>
      <c r="C89" s="15" t="n">
        <v>45839</v>
      </c>
      <c r="D89" s="16" t="n">
        <v>871369</v>
      </c>
      <c r="E89" s="16" t="n">
        <v>802939</v>
      </c>
      <c r="F89" s="17" t="n">
        <v>0.07432003484879238</v>
      </c>
      <c r="G89" s="16" t="n">
        <v>40517</v>
      </c>
      <c r="H89" s="16" t="n">
        <v>35682</v>
      </c>
      <c r="I89" s="16" t="n">
        <v>43480</v>
      </c>
      <c r="J89" s="16" t="n">
        <v>564276</v>
      </c>
      <c r="K89" s="16">
        <f>D89*F89</f>
        <v/>
      </c>
      <c r="L89" s="16">
        <f>K89+H89-I89</f>
        <v/>
      </c>
      <c r="M89" s="17">
        <f>IFERROR(L89/D89,0)</f>
        <v/>
      </c>
      <c r="N89" s="17">
        <f>IFERROR((L89*12)/J89,0)</f>
        <v/>
      </c>
      <c r="O89" s="17">
        <f>IFERROR(H89/G89,0)</f>
        <v/>
      </c>
      <c r="P89" s="16">
        <f>D89-E89</f>
        <v/>
      </c>
      <c r="Q89">
        <f>IF(M89&lt;0.06,"Below benchmark",IF(M89&lt;=0.08,"On target","Strong"))</f>
        <v/>
      </c>
    </row>
    <row r="90">
      <c r="A90" t="inlineStr">
        <is>
          <t>Udupi Sales Network</t>
        </is>
      </c>
      <c r="B90" t="inlineStr">
        <is>
          <t>Udupi</t>
        </is>
      </c>
      <c r="C90" s="15" t="n">
        <v>45870</v>
      </c>
      <c r="D90" s="16" t="n">
        <v>1337623</v>
      </c>
      <c r="E90" s="16" t="n">
        <v>1296184</v>
      </c>
      <c r="F90" s="17" t="n">
        <v>0.07549197456869226</v>
      </c>
      <c r="G90" s="16" t="n">
        <v>30498</v>
      </c>
      <c r="H90" s="16" t="n">
        <v>26393</v>
      </c>
      <c r="I90" s="16" t="n">
        <v>28753</v>
      </c>
      <c r="J90" s="16" t="n">
        <v>535860</v>
      </c>
      <c r="K90" s="16">
        <f>D90*F90</f>
        <v/>
      </c>
      <c r="L90" s="16">
        <f>K90+H90-I90</f>
        <v/>
      </c>
      <c r="M90" s="17">
        <f>IFERROR(L90/D90,0)</f>
        <v/>
      </c>
      <c r="N90" s="17">
        <f>IFERROR((L90*12)/J90,0)</f>
        <v/>
      </c>
      <c r="O90" s="17">
        <f>IFERROR(H90/G90,0)</f>
        <v/>
      </c>
      <c r="P90" s="16">
        <f>D90-E90</f>
        <v/>
      </c>
      <c r="Q90">
        <f>IF(M90&lt;0.06,"Below benchmark",IF(M90&lt;=0.08,"On target","Strong"))</f>
        <v/>
      </c>
    </row>
    <row r="91">
      <c r="A91" t="inlineStr">
        <is>
          <t>Udupi Sales Network</t>
        </is>
      </c>
      <c r="B91" t="inlineStr">
        <is>
          <t>Udupi</t>
        </is>
      </c>
      <c r="C91" s="15" t="n">
        <v>45901</v>
      </c>
      <c r="D91" s="16" t="n">
        <v>1176147</v>
      </c>
      <c r="E91" s="16" t="n">
        <v>1061250</v>
      </c>
      <c r="F91" s="17" t="n">
        <v>0.0666214812448641</v>
      </c>
      <c r="G91" s="16" t="n">
        <v>35222</v>
      </c>
      <c r="H91" s="16" t="n">
        <v>30227</v>
      </c>
      <c r="I91" s="16" t="n">
        <v>37298</v>
      </c>
      <c r="J91" s="16" t="n">
        <v>657961</v>
      </c>
      <c r="K91" s="16">
        <f>D91*F91</f>
        <v/>
      </c>
      <c r="L91" s="16">
        <f>K91+H91-I91</f>
        <v/>
      </c>
      <c r="M91" s="17">
        <f>IFERROR(L91/D91,0)</f>
        <v/>
      </c>
      <c r="N91" s="17">
        <f>IFERROR((L91*12)/J91,0)</f>
        <v/>
      </c>
      <c r="O91" s="17">
        <f>IFERROR(H91/G91,0)</f>
        <v/>
      </c>
      <c r="P91" s="16">
        <f>D91-E91</f>
        <v/>
      </c>
      <c r="Q91">
        <f>IF(M91&lt;0.06,"Below benchmark",IF(M91&lt;=0.08,"On target","Strong"))</f>
        <v/>
      </c>
    </row>
    <row r="92">
      <c r="A92" t="inlineStr">
        <is>
          <t>Udupi Sales Network</t>
        </is>
      </c>
      <c r="B92" t="inlineStr">
        <is>
          <t>Udupi</t>
        </is>
      </c>
      <c r="C92" s="15" t="n">
        <v>45931</v>
      </c>
      <c r="D92" s="16" t="n">
        <v>1057963</v>
      </c>
      <c r="E92" s="16" t="n">
        <v>1017924</v>
      </c>
      <c r="F92" s="17" t="n">
        <v>0.0661399471676459</v>
      </c>
      <c r="G92" s="16" t="n">
        <v>45553</v>
      </c>
      <c r="H92" s="16" t="n">
        <v>35453</v>
      </c>
      <c r="I92" s="16" t="n">
        <v>47845</v>
      </c>
      <c r="J92" s="16" t="n">
        <v>608116</v>
      </c>
      <c r="K92" s="16">
        <f>D92*F92</f>
        <v/>
      </c>
      <c r="L92" s="16">
        <f>K92+H92-I92</f>
        <v/>
      </c>
      <c r="M92" s="17">
        <f>IFERROR(L92/D92,0)</f>
        <v/>
      </c>
      <c r="N92" s="17">
        <f>IFERROR((L92*12)/J92,0)</f>
        <v/>
      </c>
      <c r="O92" s="17">
        <f>IFERROR(H92/G92,0)</f>
        <v/>
      </c>
      <c r="P92" s="16">
        <f>D92-E92</f>
        <v/>
      </c>
      <c r="Q92">
        <f>IF(M92&lt;0.06,"Below benchmark",IF(M92&lt;=0.08,"On target","Strong"))</f>
        <v/>
      </c>
    </row>
    <row r="93">
      <c r="A93" t="inlineStr">
        <is>
          <t>Udupi Sales Network</t>
        </is>
      </c>
      <c r="B93" t="inlineStr">
        <is>
          <t>Udupi</t>
        </is>
      </c>
      <c r="C93" s="15" t="n">
        <v>45962</v>
      </c>
      <c r="D93" s="16" t="n">
        <v>976935</v>
      </c>
      <c r="E93" s="16" t="n">
        <v>929000</v>
      </c>
      <c r="F93" s="17" t="n">
        <v>0.07694340824900318</v>
      </c>
      <c r="G93" s="16" t="n">
        <v>26345</v>
      </c>
      <c r="H93" s="16" t="n">
        <v>21163</v>
      </c>
      <c r="I93" s="16" t="n">
        <v>39037</v>
      </c>
      <c r="J93" s="16" t="n">
        <v>644285</v>
      </c>
      <c r="K93" s="16">
        <f>D93*F93</f>
        <v/>
      </c>
      <c r="L93" s="16">
        <f>K93+H93-I93</f>
        <v/>
      </c>
      <c r="M93" s="17">
        <f>IFERROR(L93/D93,0)</f>
        <v/>
      </c>
      <c r="N93" s="17">
        <f>IFERROR((L93*12)/J93,0)</f>
        <v/>
      </c>
      <c r="O93" s="17">
        <f>IFERROR(H93/G93,0)</f>
        <v/>
      </c>
      <c r="P93" s="16">
        <f>D93-E93</f>
        <v/>
      </c>
      <c r="Q93">
        <f>IF(M93&lt;0.06,"Below benchmark",IF(M93&lt;=0.08,"On target","Strong"))</f>
        <v/>
      </c>
    </row>
    <row r="94">
      <c r="A94" t="inlineStr">
        <is>
          <t>Udupi Sales Network</t>
        </is>
      </c>
      <c r="B94" t="inlineStr">
        <is>
          <t>Udupi</t>
        </is>
      </c>
      <c r="C94" s="15" t="n">
        <v>45992</v>
      </c>
      <c r="D94" s="16" t="n">
        <v>922306</v>
      </c>
      <c r="E94" s="16" t="n">
        <v>858400</v>
      </c>
      <c r="F94" s="17" t="n">
        <v>0.07258941184515617</v>
      </c>
      <c r="G94" s="16" t="n">
        <v>52838</v>
      </c>
      <c r="H94" s="16" t="n">
        <v>43370</v>
      </c>
      <c r="I94" s="16" t="n">
        <v>41062</v>
      </c>
      <c r="J94" s="16" t="n">
        <v>505332</v>
      </c>
      <c r="K94" s="16">
        <f>D94*F94</f>
        <v/>
      </c>
      <c r="L94" s="16">
        <f>K94+H94-I94</f>
        <v/>
      </c>
      <c r="M94" s="17">
        <f>IFERROR(L94/D94,0)</f>
        <v/>
      </c>
      <c r="N94" s="17">
        <f>IFERROR((L94*12)/J94,0)</f>
        <v/>
      </c>
      <c r="O94" s="17">
        <f>IFERROR(H94/G94,0)</f>
        <v/>
      </c>
      <c r="P94" s="16">
        <f>D94-E94</f>
        <v/>
      </c>
      <c r="Q94">
        <f>IF(M94&lt;0.06,"Below benchmark",IF(M94&lt;=0.08,"On target","Strong"))</f>
        <v/>
      </c>
    </row>
    <row r="95">
      <c r="A95" t="inlineStr">
        <is>
          <t>Udupi Sales Network</t>
        </is>
      </c>
      <c r="B95" t="inlineStr">
        <is>
          <t>Udupi</t>
        </is>
      </c>
      <c r="C95" s="15" t="n">
        <v>46023</v>
      </c>
      <c r="D95" s="16" t="n">
        <v>1304582</v>
      </c>
      <c r="E95" s="16" t="n">
        <v>1248749</v>
      </c>
      <c r="F95" s="17" t="n">
        <v>0.07941181350821869</v>
      </c>
      <c r="G95" s="16" t="n">
        <v>52155</v>
      </c>
      <c r="H95" s="16" t="n">
        <v>43306</v>
      </c>
      <c r="I95" s="16" t="n">
        <v>30013</v>
      </c>
      <c r="J95" s="16" t="n">
        <v>678320</v>
      </c>
      <c r="K95" s="16">
        <f>D95*F95</f>
        <v/>
      </c>
      <c r="L95" s="16">
        <f>K95+H95-I95</f>
        <v/>
      </c>
      <c r="M95" s="17">
        <f>IFERROR(L95/D95,0)</f>
        <v/>
      </c>
      <c r="N95" s="17">
        <f>IFERROR((L95*12)/J95,0)</f>
        <v/>
      </c>
      <c r="O95" s="17">
        <f>IFERROR(H95/G95,0)</f>
        <v/>
      </c>
      <c r="P95" s="16">
        <f>D95-E95</f>
        <v/>
      </c>
      <c r="Q95">
        <f>IF(M95&lt;0.06,"Below benchmark",IF(M95&lt;=0.08,"On target","Strong"))</f>
        <v/>
      </c>
    </row>
    <row r="96">
      <c r="A96" t="inlineStr">
        <is>
          <t>Udupi Sales Network</t>
        </is>
      </c>
      <c r="B96" t="inlineStr">
        <is>
          <t>Udupi</t>
        </is>
      </c>
      <c r="C96" s="15" t="n">
        <v>46054</v>
      </c>
      <c r="D96" s="16" t="n">
        <v>1034692</v>
      </c>
      <c r="E96" s="16" t="n">
        <v>1021129</v>
      </c>
      <c r="F96" s="17" t="n">
        <v>0.07600692956020089</v>
      </c>
      <c r="G96" s="16" t="n">
        <v>33850</v>
      </c>
      <c r="H96" s="16" t="n">
        <v>29375</v>
      </c>
      <c r="I96" s="16" t="n">
        <v>42634</v>
      </c>
      <c r="J96" s="16" t="n">
        <v>703491</v>
      </c>
      <c r="K96" s="16">
        <f>D96*F96</f>
        <v/>
      </c>
      <c r="L96" s="16">
        <f>K96+H96-I96</f>
        <v/>
      </c>
      <c r="M96" s="17">
        <f>IFERROR(L96/D96,0)</f>
        <v/>
      </c>
      <c r="N96" s="17">
        <f>IFERROR((L96*12)/J96,0)</f>
        <v/>
      </c>
      <c r="O96" s="17">
        <f>IFERROR(H96/G96,0)</f>
        <v/>
      </c>
      <c r="P96" s="16">
        <f>D96-E96</f>
        <v/>
      </c>
      <c r="Q96">
        <f>IF(M96&lt;0.06,"Below benchmark",IF(M96&lt;=0.08,"On target","Strong"))</f>
        <v/>
      </c>
    </row>
    <row r="97">
      <c r="A97" t="inlineStr">
        <is>
          <t>Udupi Sales Network</t>
        </is>
      </c>
      <c r="B97" t="inlineStr">
        <is>
          <t>Udupi</t>
        </is>
      </c>
      <c r="C97" s="15" t="n">
        <v>46082</v>
      </c>
      <c r="D97" s="16" t="n">
        <v>1337455</v>
      </c>
      <c r="E97" s="16" t="n">
        <v>1291703</v>
      </c>
      <c r="F97" s="17" t="n">
        <v>0.07153361739505841</v>
      </c>
      <c r="G97" s="16" t="n">
        <v>33794</v>
      </c>
      <c r="H97" s="16" t="n">
        <v>26945</v>
      </c>
      <c r="I97" s="16" t="n">
        <v>33044</v>
      </c>
      <c r="J97" s="16" t="n">
        <v>495436</v>
      </c>
      <c r="K97" s="16">
        <f>D97*F97</f>
        <v/>
      </c>
      <c r="L97" s="16">
        <f>K97+H97-I97</f>
        <v/>
      </c>
      <c r="M97" s="17">
        <f>IFERROR(L97/D97,0)</f>
        <v/>
      </c>
      <c r="N97" s="17">
        <f>IFERROR((L97*12)/J97,0)</f>
        <v/>
      </c>
      <c r="O97" s="17">
        <f>IFERROR(H97/G97,0)</f>
        <v/>
      </c>
      <c r="P97" s="16">
        <f>D97-E97</f>
        <v/>
      </c>
      <c r="Q97">
        <f>IF(M97&lt;0.06,"Below benchmark",IF(M97&lt;=0.08,"On target","Strong"))</f>
        <v/>
      </c>
    </row>
    <row r="98">
      <c r="A98" t="inlineStr">
        <is>
          <t>Ballari Distributors</t>
        </is>
      </c>
      <c r="B98" t="inlineStr">
        <is>
          <t>Ballari</t>
        </is>
      </c>
      <c r="C98" s="15" t="n">
        <v>45748</v>
      </c>
      <c r="D98" s="16" t="n">
        <v>1142477</v>
      </c>
      <c r="E98" s="16" t="n">
        <v>935989</v>
      </c>
      <c r="F98" s="17" t="n">
        <v>0.05881631184002772</v>
      </c>
      <c r="G98" s="16" t="n">
        <v>60227</v>
      </c>
      <c r="H98" s="16" t="n">
        <v>32159</v>
      </c>
      <c r="I98" s="16" t="n">
        <v>86895</v>
      </c>
      <c r="J98" s="16" t="n">
        <v>898699</v>
      </c>
      <c r="K98" s="16">
        <f>D98*F98</f>
        <v/>
      </c>
      <c r="L98" s="16">
        <f>K98+H98-I98</f>
        <v/>
      </c>
      <c r="M98" s="17">
        <f>IFERROR(L98/D98,0)</f>
        <v/>
      </c>
      <c r="N98" s="17">
        <f>IFERROR((L98*12)/J98,0)</f>
        <v/>
      </c>
      <c r="O98" s="17">
        <f>IFERROR(H98/G98,0)</f>
        <v/>
      </c>
      <c r="P98" s="16">
        <f>D98-E98</f>
        <v/>
      </c>
      <c r="Q98">
        <f>IF(M98&lt;0.06,"Below benchmark",IF(M98&lt;=0.08,"On target","Strong"))</f>
        <v/>
      </c>
    </row>
    <row r="99">
      <c r="A99" t="inlineStr">
        <is>
          <t>Ballari Distributors</t>
        </is>
      </c>
      <c r="B99" t="inlineStr">
        <is>
          <t>Ballari</t>
        </is>
      </c>
      <c r="C99" s="15" t="n">
        <v>45778</v>
      </c>
      <c r="D99" s="16" t="n">
        <v>1202737</v>
      </c>
      <c r="E99" s="16" t="n">
        <v>1072978</v>
      </c>
      <c r="F99" s="17" t="n">
        <v>0.0502869999777009</v>
      </c>
      <c r="G99" s="16" t="n">
        <v>50958</v>
      </c>
      <c r="H99" s="16" t="n">
        <v>26371</v>
      </c>
      <c r="I99" s="16" t="n">
        <v>76626</v>
      </c>
      <c r="J99" s="16" t="n">
        <v>835451</v>
      </c>
      <c r="K99" s="16">
        <f>D99*F99</f>
        <v/>
      </c>
      <c r="L99" s="16">
        <f>K99+H99-I99</f>
        <v/>
      </c>
      <c r="M99" s="17">
        <f>IFERROR(L99/D99,0)</f>
        <v/>
      </c>
      <c r="N99" s="17">
        <f>IFERROR((L99*12)/J99,0)</f>
        <v/>
      </c>
      <c r="O99" s="17">
        <f>IFERROR(H99/G99,0)</f>
        <v/>
      </c>
      <c r="P99" s="16">
        <f>D99-E99</f>
        <v/>
      </c>
      <c r="Q99">
        <f>IF(M99&lt;0.06,"Below benchmark",IF(M99&lt;=0.08,"On target","Strong"))</f>
        <v/>
      </c>
    </row>
    <row r="100">
      <c r="A100" t="inlineStr">
        <is>
          <t>Ballari Distributors</t>
        </is>
      </c>
      <c r="B100" t="inlineStr">
        <is>
          <t>Ballari</t>
        </is>
      </c>
      <c r="C100" s="15" t="n">
        <v>45809</v>
      </c>
      <c r="D100" s="16" t="n">
        <v>1206871</v>
      </c>
      <c r="E100" s="16" t="n">
        <v>1039765</v>
      </c>
      <c r="F100" s="17" t="n">
        <v>0.05279658488037586</v>
      </c>
      <c r="G100" s="16" t="n">
        <v>73839</v>
      </c>
      <c r="H100" s="16" t="n">
        <v>35092</v>
      </c>
      <c r="I100" s="16" t="n">
        <v>65332</v>
      </c>
      <c r="J100" s="16" t="n">
        <v>970861</v>
      </c>
      <c r="K100" s="16">
        <f>D100*F100</f>
        <v/>
      </c>
      <c r="L100" s="16">
        <f>K100+H100-I100</f>
        <v/>
      </c>
      <c r="M100" s="17">
        <f>IFERROR(L100/D100,0)</f>
        <v/>
      </c>
      <c r="N100" s="17">
        <f>IFERROR((L100*12)/J100,0)</f>
        <v/>
      </c>
      <c r="O100" s="17">
        <f>IFERROR(H100/G100,0)</f>
        <v/>
      </c>
      <c r="P100" s="16">
        <f>D100-E100</f>
        <v/>
      </c>
      <c r="Q100">
        <f>IF(M100&lt;0.06,"Below benchmark",IF(M100&lt;=0.08,"On target","Strong"))</f>
        <v/>
      </c>
    </row>
    <row r="101">
      <c r="A101" t="inlineStr">
        <is>
          <t>Ballari Distributors</t>
        </is>
      </c>
      <c r="B101" t="inlineStr">
        <is>
          <t>Ballari</t>
        </is>
      </c>
      <c r="C101" s="15" t="n">
        <v>45839</v>
      </c>
      <c r="D101" s="16" t="n">
        <v>1050337</v>
      </c>
      <c r="E101" s="16" t="n">
        <v>920524</v>
      </c>
      <c r="F101" s="17" t="n">
        <v>0.05085612961958021</v>
      </c>
      <c r="G101" s="16" t="n">
        <v>61009</v>
      </c>
      <c r="H101" s="16" t="n">
        <v>32397</v>
      </c>
      <c r="I101" s="16" t="n">
        <v>72874</v>
      </c>
      <c r="J101" s="16" t="n">
        <v>949609</v>
      </c>
      <c r="K101" s="16">
        <f>D101*F101</f>
        <v/>
      </c>
      <c r="L101" s="16">
        <f>K101+H101-I101</f>
        <v/>
      </c>
      <c r="M101" s="17">
        <f>IFERROR(L101/D101,0)</f>
        <v/>
      </c>
      <c r="N101" s="17">
        <f>IFERROR((L101*12)/J101,0)</f>
        <v/>
      </c>
      <c r="O101" s="17">
        <f>IFERROR(H101/G101,0)</f>
        <v/>
      </c>
      <c r="P101" s="16">
        <f>D101-E101</f>
        <v/>
      </c>
      <c r="Q101">
        <f>IF(M101&lt;0.06,"Below benchmark",IF(M101&lt;=0.08,"On target","Strong"))</f>
        <v/>
      </c>
    </row>
    <row r="102">
      <c r="A102" t="inlineStr">
        <is>
          <t>Ballari Distributors</t>
        </is>
      </c>
      <c r="B102" t="inlineStr">
        <is>
          <t>Ballari</t>
        </is>
      </c>
      <c r="C102" s="15" t="n">
        <v>45870</v>
      </c>
      <c r="D102" s="16" t="n">
        <v>1364663</v>
      </c>
      <c r="E102" s="16" t="n">
        <v>1080907</v>
      </c>
      <c r="F102" s="17" t="n">
        <v>0.05448174549586571</v>
      </c>
      <c r="G102" s="16" t="n">
        <v>54641</v>
      </c>
      <c r="H102" s="16" t="n">
        <v>25370</v>
      </c>
      <c r="I102" s="16" t="n">
        <v>87668</v>
      </c>
      <c r="J102" s="16" t="n">
        <v>827561</v>
      </c>
      <c r="K102" s="16">
        <f>D102*F102</f>
        <v/>
      </c>
      <c r="L102" s="16">
        <f>K102+H102-I102</f>
        <v/>
      </c>
      <c r="M102" s="17">
        <f>IFERROR(L102/D102,0)</f>
        <v/>
      </c>
      <c r="N102" s="17">
        <f>IFERROR((L102*12)/J102,0)</f>
        <v/>
      </c>
      <c r="O102" s="17">
        <f>IFERROR(H102/G102,0)</f>
        <v/>
      </c>
      <c r="P102" s="16">
        <f>D102-E102</f>
        <v/>
      </c>
      <c r="Q102">
        <f>IF(M102&lt;0.06,"Below benchmark",IF(M102&lt;=0.08,"On target","Strong"))</f>
        <v/>
      </c>
    </row>
    <row r="103">
      <c r="A103" t="inlineStr">
        <is>
          <t>Ballari Distributors</t>
        </is>
      </c>
      <c r="B103" t="inlineStr">
        <is>
          <t>Ballari</t>
        </is>
      </c>
      <c r="C103" s="15" t="n">
        <v>45901</v>
      </c>
      <c r="D103" s="16" t="n">
        <v>1171080</v>
      </c>
      <c r="E103" s="16" t="n">
        <v>977011</v>
      </c>
      <c r="F103" s="17" t="n">
        <v>0.05663960021596816</v>
      </c>
      <c r="G103" s="16" t="n">
        <v>63136</v>
      </c>
      <c r="H103" s="16" t="n">
        <v>33221</v>
      </c>
      <c r="I103" s="16" t="n">
        <v>78942</v>
      </c>
      <c r="J103" s="16" t="n">
        <v>988562</v>
      </c>
      <c r="K103" s="16">
        <f>D103*F103</f>
        <v/>
      </c>
      <c r="L103" s="16">
        <f>K103+H103-I103</f>
        <v/>
      </c>
      <c r="M103" s="17">
        <f>IFERROR(L103/D103,0)</f>
        <v/>
      </c>
      <c r="N103" s="17">
        <f>IFERROR((L103*12)/J103,0)</f>
        <v/>
      </c>
      <c r="O103" s="17">
        <f>IFERROR(H103/G103,0)</f>
        <v/>
      </c>
      <c r="P103" s="16">
        <f>D103-E103</f>
        <v/>
      </c>
      <c r="Q103">
        <f>IF(M103&lt;0.06,"Below benchmark",IF(M103&lt;=0.08,"On target","Strong"))</f>
        <v/>
      </c>
    </row>
    <row r="104">
      <c r="A104" t="inlineStr">
        <is>
          <t>Ballari Distributors</t>
        </is>
      </c>
      <c r="B104" t="inlineStr">
        <is>
          <t>Ballari</t>
        </is>
      </c>
      <c r="C104" s="15" t="n">
        <v>45931</v>
      </c>
      <c r="D104" s="16" t="n">
        <v>1196859</v>
      </c>
      <c r="E104" s="16" t="n">
        <v>1010686</v>
      </c>
      <c r="F104" s="17" t="n">
        <v>0.05351810527614168</v>
      </c>
      <c r="G104" s="16" t="n">
        <v>55047</v>
      </c>
      <c r="H104" s="16" t="n">
        <v>25887</v>
      </c>
      <c r="I104" s="16" t="n">
        <v>68953</v>
      </c>
      <c r="J104" s="16" t="n">
        <v>800969</v>
      </c>
      <c r="K104" s="16">
        <f>D104*F104</f>
        <v/>
      </c>
      <c r="L104" s="16">
        <f>K104+H104-I104</f>
        <v/>
      </c>
      <c r="M104" s="17">
        <f>IFERROR(L104/D104,0)</f>
        <v/>
      </c>
      <c r="N104" s="17">
        <f>IFERROR((L104*12)/J104,0)</f>
        <v/>
      </c>
      <c r="O104" s="17">
        <f>IFERROR(H104/G104,0)</f>
        <v/>
      </c>
      <c r="P104" s="16">
        <f>D104-E104</f>
        <v/>
      </c>
      <c r="Q104">
        <f>IF(M104&lt;0.06,"Below benchmark",IF(M104&lt;=0.08,"On target","Strong"))</f>
        <v/>
      </c>
    </row>
    <row r="105">
      <c r="A105" t="inlineStr">
        <is>
          <t>Ballari Distributors</t>
        </is>
      </c>
      <c r="B105" t="inlineStr">
        <is>
          <t>Ballari</t>
        </is>
      </c>
      <c r="C105" s="15" t="n">
        <v>45962</v>
      </c>
      <c r="D105" s="16" t="n">
        <v>1180876</v>
      </c>
      <c r="E105" s="16" t="n">
        <v>1008826</v>
      </c>
      <c r="F105" s="17" t="n">
        <v>0.05119554741255053</v>
      </c>
      <c r="G105" s="16" t="n">
        <v>69975</v>
      </c>
      <c r="H105" s="16" t="n">
        <v>39048</v>
      </c>
      <c r="I105" s="16" t="n">
        <v>71276</v>
      </c>
      <c r="J105" s="16" t="n">
        <v>813447</v>
      </c>
      <c r="K105" s="16">
        <f>D105*F105</f>
        <v/>
      </c>
      <c r="L105" s="16">
        <f>K105+H105-I105</f>
        <v/>
      </c>
      <c r="M105" s="17">
        <f>IFERROR(L105/D105,0)</f>
        <v/>
      </c>
      <c r="N105" s="17">
        <f>IFERROR((L105*12)/J105,0)</f>
        <v/>
      </c>
      <c r="O105" s="17">
        <f>IFERROR(H105/G105,0)</f>
        <v/>
      </c>
      <c r="P105" s="16">
        <f>D105-E105</f>
        <v/>
      </c>
      <c r="Q105">
        <f>IF(M105&lt;0.06,"Below benchmark",IF(M105&lt;=0.08,"On target","Strong"))</f>
        <v/>
      </c>
    </row>
    <row r="106">
      <c r="A106" t="inlineStr">
        <is>
          <t>Ballari Distributors</t>
        </is>
      </c>
      <c r="B106" t="inlineStr">
        <is>
          <t>Ballari</t>
        </is>
      </c>
      <c r="C106" s="15" t="n">
        <v>45992</v>
      </c>
      <c r="D106" s="16" t="n">
        <v>1357719</v>
      </c>
      <c r="E106" s="16" t="n">
        <v>1168657</v>
      </c>
      <c r="F106" s="17" t="n">
        <v>0.05276499626968689</v>
      </c>
      <c r="G106" s="16" t="n">
        <v>69910</v>
      </c>
      <c r="H106" s="16" t="n">
        <v>36697</v>
      </c>
      <c r="I106" s="16" t="n">
        <v>74273</v>
      </c>
      <c r="J106" s="16" t="n">
        <v>752704</v>
      </c>
      <c r="K106" s="16">
        <f>D106*F106</f>
        <v/>
      </c>
      <c r="L106" s="16">
        <f>K106+H106-I106</f>
        <v/>
      </c>
      <c r="M106" s="17">
        <f>IFERROR(L106/D106,0)</f>
        <v/>
      </c>
      <c r="N106" s="17">
        <f>IFERROR((L106*12)/J106,0)</f>
        <v/>
      </c>
      <c r="O106" s="17">
        <f>IFERROR(H106/G106,0)</f>
        <v/>
      </c>
      <c r="P106" s="16">
        <f>D106-E106</f>
        <v/>
      </c>
      <c r="Q106">
        <f>IF(M106&lt;0.06,"Below benchmark",IF(M106&lt;=0.08,"On target","Strong"))</f>
        <v/>
      </c>
    </row>
    <row r="107">
      <c r="A107" t="inlineStr">
        <is>
          <t>Ballari Distributors</t>
        </is>
      </c>
      <c r="B107" t="inlineStr">
        <is>
          <t>Ballari</t>
        </is>
      </c>
      <c r="C107" s="15" t="n">
        <v>46023</v>
      </c>
      <c r="D107" s="16" t="n">
        <v>1053547</v>
      </c>
      <c r="E107" s="16" t="n">
        <v>877926</v>
      </c>
      <c r="F107" s="17" t="n">
        <v>0.05296246463265145</v>
      </c>
      <c r="G107" s="16" t="n">
        <v>54904</v>
      </c>
      <c r="H107" s="16" t="n">
        <v>23215</v>
      </c>
      <c r="I107" s="16" t="n">
        <v>82502</v>
      </c>
      <c r="J107" s="16" t="n">
        <v>766365</v>
      </c>
      <c r="K107" s="16">
        <f>D107*F107</f>
        <v/>
      </c>
      <c r="L107" s="16">
        <f>K107+H107-I107</f>
        <v/>
      </c>
      <c r="M107" s="17">
        <f>IFERROR(L107/D107,0)</f>
        <v/>
      </c>
      <c r="N107" s="17">
        <f>IFERROR((L107*12)/J107,0)</f>
        <v/>
      </c>
      <c r="O107" s="17">
        <f>IFERROR(H107/G107,0)</f>
        <v/>
      </c>
      <c r="P107" s="16">
        <f>D107-E107</f>
        <v/>
      </c>
      <c r="Q107">
        <f>IF(M107&lt;0.06,"Below benchmark",IF(M107&lt;=0.08,"On target","Strong"))</f>
        <v/>
      </c>
    </row>
    <row r="108">
      <c r="A108" t="inlineStr">
        <is>
          <t>Ballari Distributors</t>
        </is>
      </c>
      <c r="B108" t="inlineStr">
        <is>
          <t>Ballari</t>
        </is>
      </c>
      <c r="C108" s="15" t="n">
        <v>46054</v>
      </c>
      <c r="D108" s="16" t="n">
        <v>1137636</v>
      </c>
      <c r="E108" s="16" t="n">
        <v>906176</v>
      </c>
      <c r="F108" s="17" t="n">
        <v>0.05045515700983218</v>
      </c>
      <c r="G108" s="16" t="n">
        <v>54572</v>
      </c>
      <c r="H108" s="16" t="n">
        <v>30532</v>
      </c>
      <c r="I108" s="16" t="n">
        <v>69137</v>
      </c>
      <c r="J108" s="16" t="n">
        <v>957361</v>
      </c>
      <c r="K108" s="16">
        <f>D108*F108</f>
        <v/>
      </c>
      <c r="L108" s="16">
        <f>K108+H108-I108</f>
        <v/>
      </c>
      <c r="M108" s="17">
        <f>IFERROR(L108/D108,0)</f>
        <v/>
      </c>
      <c r="N108" s="17">
        <f>IFERROR((L108*12)/J108,0)</f>
        <v/>
      </c>
      <c r="O108" s="17">
        <f>IFERROR(H108/G108,0)</f>
        <v/>
      </c>
      <c r="P108" s="16">
        <f>D108-E108</f>
        <v/>
      </c>
      <c r="Q108">
        <f>IF(M108&lt;0.06,"Below benchmark",IF(M108&lt;=0.08,"On target","Strong"))</f>
        <v/>
      </c>
    </row>
    <row r="109">
      <c r="A109" t="inlineStr">
        <is>
          <t>Ballari Distributors</t>
        </is>
      </c>
      <c r="B109" t="inlineStr">
        <is>
          <t>Ballari</t>
        </is>
      </c>
      <c r="C109" s="15" t="n">
        <v>46082</v>
      </c>
      <c r="D109" s="16" t="n">
        <v>957570</v>
      </c>
      <c r="E109" s="16" t="n">
        <v>822445</v>
      </c>
      <c r="F109" s="17" t="n">
        <v>0.05872719734998534</v>
      </c>
      <c r="G109" s="16" t="n">
        <v>60381</v>
      </c>
      <c r="H109" s="16" t="n">
        <v>31141</v>
      </c>
      <c r="I109" s="16" t="n">
        <v>76164</v>
      </c>
      <c r="J109" s="16" t="n">
        <v>796659</v>
      </c>
      <c r="K109" s="16">
        <f>D109*F109</f>
        <v/>
      </c>
      <c r="L109" s="16">
        <f>K109+H109-I109</f>
        <v/>
      </c>
      <c r="M109" s="17">
        <f>IFERROR(L109/D109,0)</f>
        <v/>
      </c>
      <c r="N109" s="17">
        <f>IFERROR((L109*12)/J109,0)</f>
        <v/>
      </c>
      <c r="O109" s="17">
        <f>IFERROR(H109/G109,0)</f>
        <v/>
      </c>
      <c r="P109" s="16">
        <f>D109-E109</f>
        <v/>
      </c>
      <c r="Q109">
        <f>IF(M109&lt;0.06,"Below benchmark",IF(M109&lt;=0.08,"On target","Strong"))</f>
        <v/>
      </c>
    </row>
    <row r="110">
      <c r="A110" t="inlineStr">
        <is>
          <t>Davangere Traders</t>
        </is>
      </c>
      <c r="B110" t="inlineStr">
        <is>
          <t>Davangere</t>
        </is>
      </c>
      <c r="C110" s="15" t="n">
        <v>45748</v>
      </c>
      <c r="D110" s="16" t="n">
        <v>903872</v>
      </c>
      <c r="E110" s="16" t="n">
        <v>883584</v>
      </c>
      <c r="F110" s="17" t="n">
        <v>0.06878717585739459</v>
      </c>
      <c r="G110" s="16" t="n">
        <v>28738</v>
      </c>
      <c r="H110" s="16" t="n">
        <v>26361</v>
      </c>
      <c r="I110" s="16" t="n">
        <v>38130</v>
      </c>
      <c r="J110" s="16" t="n">
        <v>707816</v>
      </c>
      <c r="K110" s="16">
        <f>D110*F110</f>
        <v/>
      </c>
      <c r="L110" s="16">
        <f>K110+H110-I110</f>
        <v/>
      </c>
      <c r="M110" s="17">
        <f>IFERROR(L110/D110,0)</f>
        <v/>
      </c>
      <c r="N110" s="17">
        <f>IFERROR((L110*12)/J110,0)</f>
        <v/>
      </c>
      <c r="O110" s="17">
        <f>IFERROR(H110/G110,0)</f>
        <v/>
      </c>
      <c r="P110" s="16">
        <f>D110-E110</f>
        <v/>
      </c>
      <c r="Q110">
        <f>IF(M110&lt;0.06,"Below benchmark",IF(M110&lt;=0.08,"On target","Strong"))</f>
        <v/>
      </c>
    </row>
    <row r="111">
      <c r="A111" t="inlineStr">
        <is>
          <t>Davangere Traders</t>
        </is>
      </c>
      <c r="B111" t="inlineStr">
        <is>
          <t>Davangere</t>
        </is>
      </c>
      <c r="C111" s="15" t="n">
        <v>45778</v>
      </c>
      <c r="D111" s="16" t="n">
        <v>927680</v>
      </c>
      <c r="E111" s="16" t="n">
        <v>892224</v>
      </c>
      <c r="F111" s="17" t="n">
        <v>0.07365531734706227</v>
      </c>
      <c r="G111" s="16" t="n">
        <v>29971</v>
      </c>
      <c r="H111" s="16" t="n">
        <v>22652</v>
      </c>
      <c r="I111" s="16" t="n">
        <v>43443</v>
      </c>
      <c r="J111" s="16" t="n">
        <v>609297</v>
      </c>
      <c r="K111" s="16">
        <f>D111*F111</f>
        <v/>
      </c>
      <c r="L111" s="16">
        <f>K111+H111-I111</f>
        <v/>
      </c>
      <c r="M111" s="17">
        <f>IFERROR(L111/D111,0)</f>
        <v/>
      </c>
      <c r="N111" s="17">
        <f>IFERROR((L111*12)/J111,0)</f>
        <v/>
      </c>
      <c r="O111" s="17">
        <f>IFERROR(H111/G111,0)</f>
        <v/>
      </c>
      <c r="P111" s="16">
        <f>D111-E111</f>
        <v/>
      </c>
      <c r="Q111">
        <f>IF(M111&lt;0.06,"Below benchmark",IF(M111&lt;=0.08,"On target","Strong"))</f>
        <v/>
      </c>
    </row>
    <row r="112">
      <c r="A112" t="inlineStr">
        <is>
          <t>Davangere Traders</t>
        </is>
      </c>
      <c r="B112" t="inlineStr">
        <is>
          <t>Davangere</t>
        </is>
      </c>
      <c r="C112" s="15" t="n">
        <v>45809</v>
      </c>
      <c r="D112" s="16" t="n">
        <v>939318</v>
      </c>
      <c r="E112" s="16" t="n">
        <v>855399</v>
      </c>
      <c r="F112" s="17" t="n">
        <v>0.0799087718406533</v>
      </c>
      <c r="G112" s="16" t="n">
        <v>50049</v>
      </c>
      <c r="H112" s="16" t="n">
        <v>41034</v>
      </c>
      <c r="I112" s="16" t="n">
        <v>44533</v>
      </c>
      <c r="J112" s="16" t="n">
        <v>568325</v>
      </c>
      <c r="K112" s="16">
        <f>D112*F112</f>
        <v/>
      </c>
      <c r="L112" s="16">
        <f>K112+H112-I112</f>
        <v/>
      </c>
      <c r="M112" s="17">
        <f>IFERROR(L112/D112,0)</f>
        <v/>
      </c>
      <c r="N112" s="17">
        <f>IFERROR((L112*12)/J112,0)</f>
        <v/>
      </c>
      <c r="O112" s="17">
        <f>IFERROR(H112/G112,0)</f>
        <v/>
      </c>
      <c r="P112" s="16">
        <f>D112-E112</f>
        <v/>
      </c>
      <c r="Q112">
        <f>IF(M112&lt;0.06,"Below benchmark",IF(M112&lt;=0.08,"On target","Strong"))</f>
        <v/>
      </c>
    </row>
    <row r="113">
      <c r="A113" t="inlineStr">
        <is>
          <t>Davangere Traders</t>
        </is>
      </c>
      <c r="B113" t="inlineStr">
        <is>
          <t>Davangere</t>
        </is>
      </c>
      <c r="C113" s="15" t="n">
        <v>45839</v>
      </c>
      <c r="D113" s="16" t="n">
        <v>1397957</v>
      </c>
      <c r="E113" s="16" t="n">
        <v>1372465</v>
      </c>
      <c r="F113" s="17" t="n">
        <v>0.07070567039219824</v>
      </c>
      <c r="G113" s="16" t="n">
        <v>34743</v>
      </c>
      <c r="H113" s="16" t="n">
        <v>32187</v>
      </c>
      <c r="I113" s="16" t="n">
        <v>39051</v>
      </c>
      <c r="J113" s="16" t="n">
        <v>610107</v>
      </c>
      <c r="K113" s="16">
        <f>D113*F113</f>
        <v/>
      </c>
      <c r="L113" s="16">
        <f>K113+H113-I113</f>
        <v/>
      </c>
      <c r="M113" s="17">
        <f>IFERROR(L113/D113,0)</f>
        <v/>
      </c>
      <c r="N113" s="17">
        <f>IFERROR((L113*12)/J113,0)</f>
        <v/>
      </c>
      <c r="O113" s="17">
        <f>IFERROR(H113/G113,0)</f>
        <v/>
      </c>
      <c r="P113" s="16">
        <f>D113-E113</f>
        <v/>
      </c>
      <c r="Q113">
        <f>IF(M113&lt;0.06,"Below benchmark",IF(M113&lt;=0.08,"On target","Strong"))</f>
        <v/>
      </c>
    </row>
    <row r="114">
      <c r="A114" t="inlineStr">
        <is>
          <t>Davangere Traders</t>
        </is>
      </c>
      <c r="B114" t="inlineStr">
        <is>
          <t>Davangere</t>
        </is>
      </c>
      <c r="C114" s="15" t="n">
        <v>45870</v>
      </c>
      <c r="D114" s="16" t="n">
        <v>1446251</v>
      </c>
      <c r="E114" s="16" t="n">
        <v>1380977</v>
      </c>
      <c r="F114" s="17" t="n">
        <v>0.07431540981608223</v>
      </c>
      <c r="G114" s="16" t="n">
        <v>49251</v>
      </c>
      <c r="H114" s="16" t="n">
        <v>36633</v>
      </c>
      <c r="I114" s="16" t="n">
        <v>31808</v>
      </c>
      <c r="J114" s="16" t="n">
        <v>560637</v>
      </c>
      <c r="K114" s="16">
        <f>D114*F114</f>
        <v/>
      </c>
      <c r="L114" s="16">
        <f>K114+H114-I114</f>
        <v/>
      </c>
      <c r="M114" s="17">
        <f>IFERROR(L114/D114,0)</f>
        <v/>
      </c>
      <c r="N114" s="17">
        <f>IFERROR((L114*12)/J114,0)</f>
        <v/>
      </c>
      <c r="O114" s="17">
        <f>IFERROR(H114/G114,0)</f>
        <v/>
      </c>
      <c r="P114" s="16">
        <f>D114-E114</f>
        <v/>
      </c>
      <c r="Q114">
        <f>IF(M114&lt;0.06,"Below benchmark",IF(M114&lt;=0.08,"On target","Strong"))</f>
        <v/>
      </c>
    </row>
    <row r="115">
      <c r="A115" t="inlineStr">
        <is>
          <t>Davangere Traders</t>
        </is>
      </c>
      <c r="B115" t="inlineStr">
        <is>
          <t>Davangere</t>
        </is>
      </c>
      <c r="C115" s="15" t="n">
        <v>45901</v>
      </c>
      <c r="D115" s="16" t="n">
        <v>1127501</v>
      </c>
      <c r="E115" s="16" t="n">
        <v>1030688</v>
      </c>
      <c r="F115" s="17" t="n">
        <v>0.07490642205788055</v>
      </c>
      <c r="G115" s="16" t="n">
        <v>30695</v>
      </c>
      <c r="H115" s="16" t="n">
        <v>26166</v>
      </c>
      <c r="I115" s="16" t="n">
        <v>30129</v>
      </c>
      <c r="J115" s="16" t="n">
        <v>451402</v>
      </c>
      <c r="K115" s="16">
        <f>D115*F115</f>
        <v/>
      </c>
      <c r="L115" s="16">
        <f>K115+H115-I115</f>
        <v/>
      </c>
      <c r="M115" s="17">
        <f>IFERROR(L115/D115,0)</f>
        <v/>
      </c>
      <c r="N115" s="17">
        <f>IFERROR((L115*12)/J115,0)</f>
        <v/>
      </c>
      <c r="O115" s="17">
        <f>IFERROR(H115/G115,0)</f>
        <v/>
      </c>
      <c r="P115" s="16">
        <f>D115-E115</f>
        <v/>
      </c>
      <c r="Q115">
        <f>IF(M115&lt;0.06,"Below benchmark",IF(M115&lt;=0.08,"On target","Strong"))</f>
        <v/>
      </c>
    </row>
    <row r="116">
      <c r="A116" t="inlineStr">
        <is>
          <t>Davangere Traders</t>
        </is>
      </c>
      <c r="B116" t="inlineStr">
        <is>
          <t>Davangere</t>
        </is>
      </c>
      <c r="C116" s="15" t="n">
        <v>45931</v>
      </c>
      <c r="D116" s="16" t="n">
        <v>1278361</v>
      </c>
      <c r="E116" s="16" t="n">
        <v>1218844</v>
      </c>
      <c r="F116" s="17" t="n">
        <v>0.07175755556926554</v>
      </c>
      <c r="G116" s="16" t="n">
        <v>34543</v>
      </c>
      <c r="H116" s="16" t="n">
        <v>25141</v>
      </c>
      <c r="I116" s="16" t="n">
        <v>34440</v>
      </c>
      <c r="J116" s="16" t="n">
        <v>598225</v>
      </c>
      <c r="K116" s="16">
        <f>D116*F116</f>
        <v/>
      </c>
      <c r="L116" s="16">
        <f>K116+H116-I116</f>
        <v/>
      </c>
      <c r="M116" s="17">
        <f>IFERROR(L116/D116,0)</f>
        <v/>
      </c>
      <c r="N116" s="17">
        <f>IFERROR((L116*12)/J116,0)</f>
        <v/>
      </c>
      <c r="O116" s="17">
        <f>IFERROR(H116/G116,0)</f>
        <v/>
      </c>
      <c r="P116" s="16">
        <f>D116-E116</f>
        <v/>
      </c>
      <c r="Q116">
        <f>IF(M116&lt;0.06,"Below benchmark",IF(M116&lt;=0.08,"On target","Strong"))</f>
        <v/>
      </c>
    </row>
    <row r="117">
      <c r="A117" t="inlineStr">
        <is>
          <t>Davangere Traders</t>
        </is>
      </c>
      <c r="B117" t="inlineStr">
        <is>
          <t>Davangere</t>
        </is>
      </c>
      <c r="C117" s="15" t="n">
        <v>45962</v>
      </c>
      <c r="D117" s="16" t="n">
        <v>1326086</v>
      </c>
      <c r="E117" s="16" t="n">
        <v>1221336</v>
      </c>
      <c r="F117" s="17" t="n">
        <v>0.06606769640230219</v>
      </c>
      <c r="G117" s="16" t="n">
        <v>33668</v>
      </c>
      <c r="H117" s="16" t="n">
        <v>30606</v>
      </c>
      <c r="I117" s="16" t="n">
        <v>45481</v>
      </c>
      <c r="J117" s="16" t="n">
        <v>553714</v>
      </c>
      <c r="K117" s="16">
        <f>D117*F117</f>
        <v/>
      </c>
      <c r="L117" s="16">
        <f>K117+H117-I117</f>
        <v/>
      </c>
      <c r="M117" s="17">
        <f>IFERROR(L117/D117,0)</f>
        <v/>
      </c>
      <c r="N117" s="17">
        <f>IFERROR((L117*12)/J117,0)</f>
        <v/>
      </c>
      <c r="O117" s="17">
        <f>IFERROR(H117/G117,0)</f>
        <v/>
      </c>
      <c r="P117" s="16">
        <f>D117-E117</f>
        <v/>
      </c>
      <c r="Q117">
        <f>IF(M117&lt;0.06,"Below benchmark",IF(M117&lt;=0.08,"On target","Strong"))</f>
        <v/>
      </c>
    </row>
    <row r="118">
      <c r="A118" t="inlineStr">
        <is>
          <t>Davangere Traders</t>
        </is>
      </c>
      <c r="B118" t="inlineStr">
        <is>
          <t>Davangere</t>
        </is>
      </c>
      <c r="C118" s="15" t="n">
        <v>45992</v>
      </c>
      <c r="D118" s="16" t="n">
        <v>1295790</v>
      </c>
      <c r="E118" s="16" t="n">
        <v>1192428</v>
      </c>
      <c r="F118" s="17" t="n">
        <v>0.06672164453691569</v>
      </c>
      <c r="G118" s="16" t="n">
        <v>29882</v>
      </c>
      <c r="H118" s="16" t="n">
        <v>28029</v>
      </c>
      <c r="I118" s="16" t="n">
        <v>29660</v>
      </c>
      <c r="J118" s="16" t="n">
        <v>487439</v>
      </c>
      <c r="K118" s="16">
        <f>D118*F118</f>
        <v/>
      </c>
      <c r="L118" s="16">
        <f>K118+H118-I118</f>
        <v/>
      </c>
      <c r="M118" s="17">
        <f>IFERROR(L118/D118,0)</f>
        <v/>
      </c>
      <c r="N118" s="17">
        <f>IFERROR((L118*12)/J118,0)</f>
        <v/>
      </c>
      <c r="O118" s="17">
        <f>IFERROR(H118/G118,0)</f>
        <v/>
      </c>
      <c r="P118" s="16">
        <f>D118-E118</f>
        <v/>
      </c>
      <c r="Q118">
        <f>IF(M118&lt;0.06,"Below benchmark",IF(M118&lt;=0.08,"On target","Strong"))</f>
        <v/>
      </c>
    </row>
    <row r="119">
      <c r="A119" t="inlineStr">
        <is>
          <t>Davangere Traders</t>
        </is>
      </c>
      <c r="B119" t="inlineStr">
        <is>
          <t>Davangere</t>
        </is>
      </c>
      <c r="C119" s="15" t="n">
        <v>46023</v>
      </c>
      <c r="D119" s="16" t="n">
        <v>912535</v>
      </c>
      <c r="E119" s="16" t="n">
        <v>846545</v>
      </c>
      <c r="F119" s="17" t="n">
        <v>0.06748884183831087</v>
      </c>
      <c r="G119" s="16" t="n">
        <v>49541</v>
      </c>
      <c r="H119" s="16" t="n">
        <v>45469</v>
      </c>
      <c r="I119" s="16" t="n">
        <v>34457</v>
      </c>
      <c r="J119" s="16" t="n">
        <v>680242</v>
      </c>
      <c r="K119" s="16">
        <f>D119*F119</f>
        <v/>
      </c>
      <c r="L119" s="16">
        <f>K119+H119-I119</f>
        <v/>
      </c>
      <c r="M119" s="17">
        <f>IFERROR(L119/D119,0)</f>
        <v/>
      </c>
      <c r="N119" s="17">
        <f>IFERROR((L119*12)/J119,0)</f>
        <v/>
      </c>
      <c r="O119" s="17">
        <f>IFERROR(H119/G119,0)</f>
        <v/>
      </c>
      <c r="P119" s="16">
        <f>D119-E119</f>
        <v/>
      </c>
      <c r="Q119">
        <f>IF(M119&lt;0.06,"Below benchmark",IF(M119&lt;=0.08,"On target","Strong"))</f>
        <v/>
      </c>
    </row>
    <row r="120">
      <c r="A120" t="inlineStr">
        <is>
          <t>Davangere Traders</t>
        </is>
      </c>
      <c r="B120" t="inlineStr">
        <is>
          <t>Davangere</t>
        </is>
      </c>
      <c r="C120" s="15" t="n">
        <v>46054</v>
      </c>
      <c r="D120" s="16" t="n">
        <v>980394</v>
      </c>
      <c r="E120" s="16" t="n">
        <v>909186</v>
      </c>
      <c r="F120" s="17" t="n">
        <v>0.07203046955414243</v>
      </c>
      <c r="G120" s="16" t="n">
        <v>38189</v>
      </c>
      <c r="H120" s="16" t="n">
        <v>36136</v>
      </c>
      <c r="I120" s="16" t="n">
        <v>41399</v>
      </c>
      <c r="J120" s="16" t="n">
        <v>733105</v>
      </c>
      <c r="K120" s="16">
        <f>D120*F120</f>
        <v/>
      </c>
      <c r="L120" s="16">
        <f>K120+H120-I120</f>
        <v/>
      </c>
      <c r="M120" s="17">
        <f>IFERROR(L120/D120,0)</f>
        <v/>
      </c>
      <c r="N120" s="17">
        <f>IFERROR((L120*12)/J120,0)</f>
        <v/>
      </c>
      <c r="O120" s="17">
        <f>IFERROR(H120/G120,0)</f>
        <v/>
      </c>
      <c r="P120" s="16">
        <f>D120-E120</f>
        <v/>
      </c>
      <c r="Q120">
        <f>IF(M120&lt;0.06,"Below benchmark",IF(M120&lt;=0.08,"On target","Strong"))</f>
        <v/>
      </c>
    </row>
    <row r="121">
      <c r="A121" t="inlineStr">
        <is>
          <t>Davangere Traders</t>
        </is>
      </c>
      <c r="B121" t="inlineStr">
        <is>
          <t>Davangere</t>
        </is>
      </c>
      <c r="C121" s="15" t="n">
        <v>46082</v>
      </c>
      <c r="D121" s="16" t="n">
        <v>1367781</v>
      </c>
      <c r="E121" s="16" t="n">
        <v>1304621</v>
      </c>
      <c r="F121" s="17" t="n">
        <v>0.07156638295357397</v>
      </c>
      <c r="G121" s="16" t="n">
        <v>54144</v>
      </c>
      <c r="H121" s="16" t="n">
        <v>44597</v>
      </c>
      <c r="I121" s="16" t="n">
        <v>35561</v>
      </c>
      <c r="J121" s="16" t="n">
        <v>581264</v>
      </c>
      <c r="K121" s="16">
        <f>D121*F121</f>
        <v/>
      </c>
      <c r="L121" s="16">
        <f>K121+H121-I121</f>
        <v/>
      </c>
      <c r="M121" s="17">
        <f>IFERROR(L121/D121,0)</f>
        <v/>
      </c>
      <c r="N121" s="17">
        <f>IFERROR((L121*12)/J121,0)</f>
        <v/>
      </c>
      <c r="O121" s="17">
        <f>IFERROR(H121/G121,0)</f>
        <v/>
      </c>
      <c r="P121" s="16">
        <f>D121-E121</f>
        <v/>
      </c>
      <c r="Q121">
        <f>IF(M121&lt;0.06,"Below benchmark",IF(M121&lt;=0.08,"On target","Strong"))</f>
        <v/>
      </c>
    </row>
    <row r="122">
      <c r="A122" t="inlineStr">
        <is>
          <t>Kalaburagi Agencies</t>
        </is>
      </c>
      <c r="B122" t="inlineStr">
        <is>
          <t>Kalaburagi</t>
        </is>
      </c>
      <c r="C122" s="15" t="n">
        <v>45748</v>
      </c>
      <c r="D122" s="16" t="n">
        <v>877121</v>
      </c>
      <c r="E122" s="16" t="n">
        <v>865343</v>
      </c>
      <c r="F122" s="17" t="n">
        <v>0.06636990329946478</v>
      </c>
      <c r="G122" s="16" t="n">
        <v>52392</v>
      </c>
      <c r="H122" s="16" t="n">
        <v>48542</v>
      </c>
      <c r="I122" s="16" t="n">
        <v>44238</v>
      </c>
      <c r="J122" s="16" t="n">
        <v>460876</v>
      </c>
      <c r="K122" s="16">
        <f>D122*F122</f>
        <v/>
      </c>
      <c r="L122" s="16">
        <f>K122+H122-I122</f>
        <v/>
      </c>
      <c r="M122" s="17">
        <f>IFERROR(L122/D122,0)</f>
        <v/>
      </c>
      <c r="N122" s="17">
        <f>IFERROR((L122*12)/J122,0)</f>
        <v/>
      </c>
      <c r="O122" s="17">
        <f>IFERROR(H122/G122,0)</f>
        <v/>
      </c>
      <c r="P122" s="16">
        <f>D122-E122</f>
        <v/>
      </c>
      <c r="Q122">
        <f>IF(M122&lt;0.06,"Below benchmark",IF(M122&lt;=0.08,"On target","Strong"))</f>
        <v/>
      </c>
    </row>
    <row r="123">
      <c r="A123" t="inlineStr">
        <is>
          <t>Kalaburagi Agencies</t>
        </is>
      </c>
      <c r="B123" t="inlineStr">
        <is>
          <t>Kalaburagi</t>
        </is>
      </c>
      <c r="C123" s="15" t="n">
        <v>45778</v>
      </c>
      <c r="D123" s="16" t="n">
        <v>1132602</v>
      </c>
      <c r="E123" s="16" t="n">
        <v>1097128</v>
      </c>
      <c r="F123" s="17" t="n">
        <v>0.07364370476904121</v>
      </c>
      <c r="G123" s="16" t="n">
        <v>30740</v>
      </c>
      <c r="H123" s="16" t="n">
        <v>25603</v>
      </c>
      <c r="I123" s="16" t="n">
        <v>46348</v>
      </c>
      <c r="J123" s="16" t="n">
        <v>681855</v>
      </c>
      <c r="K123" s="16">
        <f>D123*F123</f>
        <v/>
      </c>
      <c r="L123" s="16">
        <f>K123+H123-I123</f>
        <v/>
      </c>
      <c r="M123" s="17">
        <f>IFERROR(L123/D123,0)</f>
        <v/>
      </c>
      <c r="N123" s="17">
        <f>IFERROR((L123*12)/J123,0)</f>
        <v/>
      </c>
      <c r="O123" s="17">
        <f>IFERROR(H123/G123,0)</f>
        <v/>
      </c>
      <c r="P123" s="16">
        <f>D123-E123</f>
        <v/>
      </c>
      <c r="Q123">
        <f>IF(M123&lt;0.06,"Below benchmark",IF(M123&lt;=0.08,"On target","Strong"))</f>
        <v/>
      </c>
    </row>
    <row r="124">
      <c r="A124" t="inlineStr">
        <is>
          <t>Kalaburagi Agencies</t>
        </is>
      </c>
      <c r="B124" t="inlineStr">
        <is>
          <t>Kalaburagi</t>
        </is>
      </c>
      <c r="C124" s="15" t="n">
        <v>45809</v>
      </c>
      <c r="D124" s="16" t="n">
        <v>1141668</v>
      </c>
      <c r="E124" s="16" t="n">
        <v>1087643</v>
      </c>
      <c r="F124" s="17" t="n">
        <v>0.06772233720834689</v>
      </c>
      <c r="G124" s="16" t="n">
        <v>45800</v>
      </c>
      <c r="H124" s="16" t="n">
        <v>41926</v>
      </c>
      <c r="I124" s="16" t="n">
        <v>27989</v>
      </c>
      <c r="J124" s="16" t="n">
        <v>696420</v>
      </c>
      <c r="K124" s="16">
        <f>D124*F124</f>
        <v/>
      </c>
      <c r="L124" s="16">
        <f>K124+H124-I124</f>
        <v/>
      </c>
      <c r="M124" s="17">
        <f>IFERROR(L124/D124,0)</f>
        <v/>
      </c>
      <c r="N124" s="17">
        <f>IFERROR((L124*12)/J124,0)</f>
        <v/>
      </c>
      <c r="O124" s="17">
        <f>IFERROR(H124/G124,0)</f>
        <v/>
      </c>
      <c r="P124" s="16">
        <f>D124-E124</f>
        <v/>
      </c>
      <c r="Q124">
        <f>IF(M124&lt;0.06,"Below benchmark",IF(M124&lt;=0.08,"On target","Strong"))</f>
        <v/>
      </c>
    </row>
    <row r="125">
      <c r="A125" t="inlineStr">
        <is>
          <t>Kalaburagi Agencies</t>
        </is>
      </c>
      <c r="B125" t="inlineStr">
        <is>
          <t>Kalaburagi</t>
        </is>
      </c>
      <c r="C125" s="15" t="n">
        <v>45839</v>
      </c>
      <c r="D125" s="16" t="n">
        <v>1214863</v>
      </c>
      <c r="E125" s="16" t="n">
        <v>1128480</v>
      </c>
      <c r="F125" s="17" t="n">
        <v>0.07112522140145024</v>
      </c>
      <c r="G125" s="16" t="n">
        <v>28427</v>
      </c>
      <c r="H125" s="16" t="n">
        <v>26319</v>
      </c>
      <c r="I125" s="16" t="n">
        <v>35807</v>
      </c>
      <c r="J125" s="16" t="n">
        <v>665820</v>
      </c>
      <c r="K125" s="16">
        <f>D125*F125</f>
        <v/>
      </c>
      <c r="L125" s="16">
        <f>K125+H125-I125</f>
        <v/>
      </c>
      <c r="M125" s="17">
        <f>IFERROR(L125/D125,0)</f>
        <v/>
      </c>
      <c r="N125" s="17">
        <f>IFERROR((L125*12)/J125,0)</f>
        <v/>
      </c>
      <c r="O125" s="17">
        <f>IFERROR(H125/G125,0)</f>
        <v/>
      </c>
      <c r="P125" s="16">
        <f>D125-E125</f>
        <v/>
      </c>
      <c r="Q125">
        <f>IF(M125&lt;0.06,"Below benchmark",IF(M125&lt;=0.08,"On target","Strong"))</f>
        <v/>
      </c>
    </row>
    <row r="126">
      <c r="A126" t="inlineStr">
        <is>
          <t>Kalaburagi Agencies</t>
        </is>
      </c>
      <c r="B126" t="inlineStr">
        <is>
          <t>Kalaburagi</t>
        </is>
      </c>
      <c r="C126" s="15" t="n">
        <v>45870</v>
      </c>
      <c r="D126" s="16" t="n">
        <v>1369536</v>
      </c>
      <c r="E126" s="16" t="n">
        <v>1349085</v>
      </c>
      <c r="F126" s="17" t="n">
        <v>0.06932326693042185</v>
      </c>
      <c r="G126" s="16" t="n">
        <v>51658</v>
      </c>
      <c r="H126" s="16" t="n">
        <v>46622</v>
      </c>
      <c r="I126" s="16" t="n">
        <v>26202</v>
      </c>
      <c r="J126" s="16" t="n">
        <v>688459</v>
      </c>
      <c r="K126" s="16">
        <f>D126*F126</f>
        <v/>
      </c>
      <c r="L126" s="16">
        <f>K126+H126-I126</f>
        <v/>
      </c>
      <c r="M126" s="17">
        <f>IFERROR(L126/D126,0)</f>
        <v/>
      </c>
      <c r="N126" s="17">
        <f>IFERROR((L126*12)/J126,0)</f>
        <v/>
      </c>
      <c r="O126" s="17">
        <f>IFERROR(H126/G126,0)</f>
        <v/>
      </c>
      <c r="P126" s="16">
        <f>D126-E126</f>
        <v/>
      </c>
      <c r="Q126">
        <f>IF(M126&lt;0.06,"Below benchmark",IF(M126&lt;=0.08,"On target","Strong"))</f>
        <v/>
      </c>
    </row>
    <row r="127">
      <c r="A127" t="inlineStr">
        <is>
          <t>Kalaburagi Agencies</t>
        </is>
      </c>
      <c r="B127" t="inlineStr">
        <is>
          <t>Kalaburagi</t>
        </is>
      </c>
      <c r="C127" s="15" t="n">
        <v>45901</v>
      </c>
      <c r="D127" s="16" t="n">
        <v>942337</v>
      </c>
      <c r="E127" s="16" t="n">
        <v>875520</v>
      </c>
      <c r="F127" s="17" t="n">
        <v>0.06971775735755252</v>
      </c>
      <c r="G127" s="16" t="n">
        <v>50314</v>
      </c>
      <c r="H127" s="16" t="n">
        <v>41106</v>
      </c>
      <c r="I127" s="16" t="n">
        <v>41862</v>
      </c>
      <c r="J127" s="16" t="n">
        <v>450603</v>
      </c>
      <c r="K127" s="16">
        <f>D127*F127</f>
        <v/>
      </c>
      <c r="L127" s="16">
        <f>K127+H127-I127</f>
        <v/>
      </c>
      <c r="M127" s="17">
        <f>IFERROR(L127/D127,0)</f>
        <v/>
      </c>
      <c r="N127" s="17">
        <f>IFERROR((L127*12)/J127,0)</f>
        <v/>
      </c>
      <c r="O127" s="17">
        <f>IFERROR(H127/G127,0)</f>
        <v/>
      </c>
      <c r="P127" s="16">
        <f>D127-E127</f>
        <v/>
      </c>
      <c r="Q127">
        <f>IF(M127&lt;0.06,"Below benchmark",IF(M127&lt;=0.08,"On target","Strong"))</f>
        <v/>
      </c>
    </row>
    <row r="128">
      <c r="A128" t="inlineStr">
        <is>
          <t>Kalaburagi Agencies</t>
        </is>
      </c>
      <c r="B128" t="inlineStr">
        <is>
          <t>Kalaburagi</t>
        </is>
      </c>
      <c r="C128" s="15" t="n">
        <v>45931</v>
      </c>
      <c r="D128" s="16" t="n">
        <v>1418950</v>
      </c>
      <c r="E128" s="16" t="n">
        <v>1283977</v>
      </c>
      <c r="F128" s="17" t="n">
        <v>0.07192964517473216</v>
      </c>
      <c r="G128" s="16" t="n">
        <v>41988</v>
      </c>
      <c r="H128" s="16" t="n">
        <v>33877</v>
      </c>
      <c r="I128" s="16" t="n">
        <v>41334</v>
      </c>
      <c r="J128" s="16" t="n">
        <v>681756</v>
      </c>
      <c r="K128" s="16">
        <f>D128*F128</f>
        <v/>
      </c>
      <c r="L128" s="16">
        <f>K128+H128-I128</f>
        <v/>
      </c>
      <c r="M128" s="17">
        <f>IFERROR(L128/D128,0)</f>
        <v/>
      </c>
      <c r="N128" s="17">
        <f>IFERROR((L128*12)/J128,0)</f>
        <v/>
      </c>
      <c r="O128" s="17">
        <f>IFERROR(H128/G128,0)</f>
        <v/>
      </c>
      <c r="P128" s="16">
        <f>D128-E128</f>
        <v/>
      </c>
      <c r="Q128">
        <f>IF(M128&lt;0.06,"Below benchmark",IF(M128&lt;=0.08,"On target","Strong"))</f>
        <v/>
      </c>
    </row>
    <row r="129">
      <c r="A129" t="inlineStr">
        <is>
          <t>Kalaburagi Agencies</t>
        </is>
      </c>
      <c r="B129" t="inlineStr">
        <is>
          <t>Kalaburagi</t>
        </is>
      </c>
      <c r="C129" s="15" t="n">
        <v>45962</v>
      </c>
      <c r="D129" s="16" t="n">
        <v>904118</v>
      </c>
      <c r="E129" s="16" t="n">
        <v>858396</v>
      </c>
      <c r="F129" s="17" t="n">
        <v>0.06805337357525411</v>
      </c>
      <c r="G129" s="16" t="n">
        <v>34438</v>
      </c>
      <c r="H129" s="16" t="n">
        <v>28416</v>
      </c>
      <c r="I129" s="16" t="n">
        <v>47880</v>
      </c>
      <c r="J129" s="16" t="n">
        <v>704128</v>
      </c>
      <c r="K129" s="16">
        <f>D129*F129</f>
        <v/>
      </c>
      <c r="L129" s="16">
        <f>K129+H129-I129</f>
        <v/>
      </c>
      <c r="M129" s="17">
        <f>IFERROR(L129/D129,0)</f>
        <v/>
      </c>
      <c r="N129" s="17">
        <f>IFERROR((L129*12)/J129,0)</f>
        <v/>
      </c>
      <c r="O129" s="17">
        <f>IFERROR(H129/G129,0)</f>
        <v/>
      </c>
      <c r="P129" s="16">
        <f>D129-E129</f>
        <v/>
      </c>
      <c r="Q129">
        <f>IF(M129&lt;0.06,"Below benchmark",IF(M129&lt;=0.08,"On target","Strong"))</f>
        <v/>
      </c>
    </row>
    <row r="130">
      <c r="A130" t="inlineStr">
        <is>
          <t>Kalaburagi Agencies</t>
        </is>
      </c>
      <c r="B130" t="inlineStr">
        <is>
          <t>Kalaburagi</t>
        </is>
      </c>
      <c r="C130" s="15" t="n">
        <v>45992</v>
      </c>
      <c r="D130" s="16" t="n">
        <v>977324</v>
      </c>
      <c r="E130" s="16" t="n">
        <v>935007</v>
      </c>
      <c r="F130" s="17" t="n">
        <v>0.06543304163662494</v>
      </c>
      <c r="G130" s="16" t="n">
        <v>51191</v>
      </c>
      <c r="H130" s="16" t="n">
        <v>39797</v>
      </c>
      <c r="I130" s="16" t="n">
        <v>30189</v>
      </c>
      <c r="J130" s="16" t="n">
        <v>612922</v>
      </c>
      <c r="K130" s="16">
        <f>D130*F130</f>
        <v/>
      </c>
      <c r="L130" s="16">
        <f>K130+H130-I130</f>
        <v/>
      </c>
      <c r="M130" s="17">
        <f>IFERROR(L130/D130,0)</f>
        <v/>
      </c>
      <c r="N130" s="17">
        <f>IFERROR((L130*12)/J130,0)</f>
        <v/>
      </c>
      <c r="O130" s="17">
        <f>IFERROR(H130/G130,0)</f>
        <v/>
      </c>
      <c r="P130" s="16">
        <f>D130-E130</f>
        <v/>
      </c>
      <c r="Q130">
        <f>IF(M130&lt;0.06,"Below benchmark",IF(M130&lt;=0.08,"On target","Strong"))</f>
        <v/>
      </c>
    </row>
    <row r="131">
      <c r="A131" t="inlineStr">
        <is>
          <t>Kalaburagi Agencies</t>
        </is>
      </c>
      <c r="B131" t="inlineStr">
        <is>
          <t>Kalaburagi</t>
        </is>
      </c>
      <c r="C131" s="15" t="n">
        <v>46023</v>
      </c>
      <c r="D131" s="16" t="n">
        <v>1427596</v>
      </c>
      <c r="E131" s="16" t="n">
        <v>1337256</v>
      </c>
      <c r="F131" s="17" t="n">
        <v>0.06520511696699091</v>
      </c>
      <c r="G131" s="16" t="n">
        <v>32362</v>
      </c>
      <c r="H131" s="16" t="n">
        <v>31007</v>
      </c>
      <c r="I131" s="16" t="n">
        <v>28717</v>
      </c>
      <c r="J131" s="16" t="n">
        <v>691931</v>
      </c>
      <c r="K131" s="16">
        <f>D131*F131</f>
        <v/>
      </c>
      <c r="L131" s="16">
        <f>K131+H131-I131</f>
        <v/>
      </c>
      <c r="M131" s="17">
        <f>IFERROR(L131/D131,0)</f>
        <v/>
      </c>
      <c r="N131" s="17">
        <f>IFERROR((L131*12)/J131,0)</f>
        <v/>
      </c>
      <c r="O131" s="17">
        <f>IFERROR(H131/G131,0)</f>
        <v/>
      </c>
      <c r="P131" s="16">
        <f>D131-E131</f>
        <v/>
      </c>
      <c r="Q131">
        <f>IF(M131&lt;0.06,"Below benchmark",IF(M131&lt;=0.08,"On target","Strong"))</f>
        <v/>
      </c>
    </row>
    <row r="132">
      <c r="A132" t="inlineStr">
        <is>
          <t>Kalaburagi Agencies</t>
        </is>
      </c>
      <c r="B132" t="inlineStr">
        <is>
          <t>Kalaburagi</t>
        </is>
      </c>
      <c r="C132" s="15" t="n">
        <v>46054</v>
      </c>
      <c r="D132" s="16" t="n">
        <v>973172</v>
      </c>
      <c r="E132" s="16" t="n">
        <v>889340</v>
      </c>
      <c r="F132" s="17" t="n">
        <v>0.07471564533175638</v>
      </c>
      <c r="G132" s="16" t="n">
        <v>48481</v>
      </c>
      <c r="H132" s="16" t="n">
        <v>38302</v>
      </c>
      <c r="I132" s="16" t="n">
        <v>33959</v>
      </c>
      <c r="J132" s="16" t="n">
        <v>667836</v>
      </c>
      <c r="K132" s="16">
        <f>D132*F132</f>
        <v/>
      </c>
      <c r="L132" s="16">
        <f>K132+H132-I132</f>
        <v/>
      </c>
      <c r="M132" s="17">
        <f>IFERROR(L132/D132,0)</f>
        <v/>
      </c>
      <c r="N132" s="17">
        <f>IFERROR((L132*12)/J132,0)</f>
        <v/>
      </c>
      <c r="O132" s="17">
        <f>IFERROR(H132/G132,0)</f>
        <v/>
      </c>
      <c r="P132" s="16">
        <f>D132-E132</f>
        <v/>
      </c>
      <c r="Q132">
        <f>IF(M132&lt;0.06,"Below benchmark",IF(M132&lt;=0.08,"On target","Strong"))</f>
        <v/>
      </c>
    </row>
    <row r="133">
      <c r="A133" t="inlineStr">
        <is>
          <t>Kalaburagi Agencies</t>
        </is>
      </c>
      <c r="B133" t="inlineStr">
        <is>
          <t>Kalaburagi</t>
        </is>
      </c>
      <c r="C133" s="15" t="n">
        <v>46082</v>
      </c>
      <c r="D133" s="16" t="n">
        <v>1355937</v>
      </c>
      <c r="E133" s="16" t="n">
        <v>1250086</v>
      </c>
      <c r="F133" s="17" t="n">
        <v>0.07970366948905064</v>
      </c>
      <c r="G133" s="16" t="n">
        <v>43063</v>
      </c>
      <c r="H133" s="16" t="n">
        <v>32500</v>
      </c>
      <c r="I133" s="16" t="n">
        <v>31245</v>
      </c>
      <c r="J133" s="16" t="n">
        <v>716464</v>
      </c>
      <c r="K133" s="16">
        <f>D133*F133</f>
        <v/>
      </c>
      <c r="L133" s="16">
        <f>K133+H133-I133</f>
        <v/>
      </c>
      <c r="M133" s="17">
        <f>IFERROR(L133/D133,0)</f>
        <v/>
      </c>
      <c r="N133" s="17">
        <f>IFERROR((L133*12)/J133,0)</f>
        <v/>
      </c>
      <c r="O133" s="17">
        <f>IFERROR(H133/G133,0)</f>
        <v/>
      </c>
      <c r="P133" s="16">
        <f>D133-E133</f>
        <v/>
      </c>
      <c r="Q133">
        <f>IF(M133&lt;0.06,"Below benchmark",IF(M133&lt;=0.08,"On target","Strong"))</f>
        <v/>
      </c>
    </row>
    <row r="134">
      <c r="A134" t="inlineStr">
        <is>
          <t>Hassan Wholesale</t>
        </is>
      </c>
      <c r="B134" t="inlineStr">
        <is>
          <t>Hassan</t>
        </is>
      </c>
      <c r="C134" s="15" t="n">
        <v>45748</v>
      </c>
      <c r="D134" s="16" t="n">
        <v>993139</v>
      </c>
      <c r="E134" s="16" t="n">
        <v>918516</v>
      </c>
      <c r="F134" s="17" t="n">
        <v>0.07796040401642883</v>
      </c>
      <c r="G134" s="16" t="n">
        <v>50886</v>
      </c>
      <c r="H134" s="16" t="n">
        <v>47072</v>
      </c>
      <c r="I134" s="16" t="n">
        <v>36137</v>
      </c>
      <c r="J134" s="16" t="n">
        <v>716200</v>
      </c>
      <c r="K134" s="16">
        <f>D134*F134</f>
        <v/>
      </c>
      <c r="L134" s="16">
        <f>K134+H134-I134</f>
        <v/>
      </c>
      <c r="M134" s="17">
        <f>IFERROR(L134/D134,0)</f>
        <v/>
      </c>
      <c r="N134" s="17">
        <f>IFERROR((L134*12)/J134,0)</f>
        <v/>
      </c>
      <c r="O134" s="17">
        <f>IFERROR(H134/G134,0)</f>
        <v/>
      </c>
      <c r="P134" s="16">
        <f>D134-E134</f>
        <v/>
      </c>
      <c r="Q134">
        <f>IF(M134&lt;0.06,"Below benchmark",IF(M134&lt;=0.08,"On target","Strong"))</f>
        <v/>
      </c>
    </row>
    <row r="135">
      <c r="A135" t="inlineStr">
        <is>
          <t>Hassan Wholesale</t>
        </is>
      </c>
      <c r="B135" t="inlineStr">
        <is>
          <t>Hassan</t>
        </is>
      </c>
      <c r="C135" s="15" t="n">
        <v>45778</v>
      </c>
      <c r="D135" s="16" t="n">
        <v>1130150</v>
      </c>
      <c r="E135" s="16" t="n">
        <v>1045903</v>
      </c>
      <c r="F135" s="17" t="n">
        <v>0.07730824209778368</v>
      </c>
      <c r="G135" s="16" t="n">
        <v>34783</v>
      </c>
      <c r="H135" s="16" t="n">
        <v>32034</v>
      </c>
      <c r="I135" s="16" t="n">
        <v>44002</v>
      </c>
      <c r="J135" s="16" t="n">
        <v>706712</v>
      </c>
      <c r="K135" s="16">
        <f>D135*F135</f>
        <v/>
      </c>
      <c r="L135" s="16">
        <f>K135+H135-I135</f>
        <v/>
      </c>
      <c r="M135" s="17">
        <f>IFERROR(L135/D135,0)</f>
        <v/>
      </c>
      <c r="N135" s="17">
        <f>IFERROR((L135*12)/J135,0)</f>
        <v/>
      </c>
      <c r="O135" s="17">
        <f>IFERROR(H135/G135,0)</f>
        <v/>
      </c>
      <c r="P135" s="16">
        <f>D135-E135</f>
        <v/>
      </c>
      <c r="Q135">
        <f>IF(M135&lt;0.06,"Below benchmark",IF(M135&lt;=0.08,"On target","Strong"))</f>
        <v/>
      </c>
    </row>
    <row r="136">
      <c r="A136" t="inlineStr">
        <is>
          <t>Hassan Wholesale</t>
        </is>
      </c>
      <c r="B136" t="inlineStr">
        <is>
          <t>Hassan</t>
        </is>
      </c>
      <c r="C136" s="15" t="n">
        <v>45809</v>
      </c>
      <c r="D136" s="16" t="n">
        <v>1005813</v>
      </c>
      <c r="E136" s="16" t="n">
        <v>949075</v>
      </c>
      <c r="F136" s="17" t="n">
        <v>0.07169821089564792</v>
      </c>
      <c r="G136" s="16" t="n">
        <v>35893</v>
      </c>
      <c r="H136" s="16" t="n">
        <v>30597</v>
      </c>
      <c r="I136" s="16" t="n">
        <v>42807</v>
      </c>
      <c r="J136" s="16" t="n">
        <v>647766</v>
      </c>
      <c r="K136" s="16">
        <f>D136*F136</f>
        <v/>
      </c>
      <c r="L136" s="16">
        <f>K136+H136-I136</f>
        <v/>
      </c>
      <c r="M136" s="17">
        <f>IFERROR(L136/D136,0)</f>
        <v/>
      </c>
      <c r="N136" s="17">
        <f>IFERROR((L136*12)/J136,0)</f>
        <v/>
      </c>
      <c r="O136" s="17">
        <f>IFERROR(H136/G136,0)</f>
        <v/>
      </c>
      <c r="P136" s="16">
        <f>D136-E136</f>
        <v/>
      </c>
      <c r="Q136">
        <f>IF(M136&lt;0.06,"Below benchmark",IF(M136&lt;=0.08,"On target","Strong"))</f>
        <v/>
      </c>
    </row>
    <row r="137">
      <c r="A137" t="inlineStr">
        <is>
          <t>Hassan Wholesale</t>
        </is>
      </c>
      <c r="B137" t="inlineStr">
        <is>
          <t>Hassan</t>
        </is>
      </c>
      <c r="C137" s="15" t="n">
        <v>45839</v>
      </c>
      <c r="D137" s="16" t="n">
        <v>1327463</v>
      </c>
      <c r="E137" s="16" t="n">
        <v>1298609</v>
      </c>
      <c r="F137" s="17" t="n">
        <v>0.07899278383572891</v>
      </c>
      <c r="G137" s="16" t="n">
        <v>47855</v>
      </c>
      <c r="H137" s="16" t="n">
        <v>37198</v>
      </c>
      <c r="I137" s="16" t="n">
        <v>37549</v>
      </c>
      <c r="J137" s="16" t="n">
        <v>572453</v>
      </c>
      <c r="K137" s="16">
        <f>D137*F137</f>
        <v/>
      </c>
      <c r="L137" s="16">
        <f>K137+H137-I137</f>
        <v/>
      </c>
      <c r="M137" s="17">
        <f>IFERROR(L137/D137,0)</f>
        <v/>
      </c>
      <c r="N137" s="17">
        <f>IFERROR((L137*12)/J137,0)</f>
        <v/>
      </c>
      <c r="O137" s="17">
        <f>IFERROR(H137/G137,0)</f>
        <v/>
      </c>
      <c r="P137" s="16">
        <f>D137-E137</f>
        <v/>
      </c>
      <c r="Q137">
        <f>IF(M137&lt;0.06,"Below benchmark",IF(M137&lt;=0.08,"On target","Strong"))</f>
        <v/>
      </c>
    </row>
    <row r="138">
      <c r="A138" t="inlineStr">
        <is>
          <t>Hassan Wholesale</t>
        </is>
      </c>
      <c r="B138" t="inlineStr">
        <is>
          <t>Hassan</t>
        </is>
      </c>
      <c r="C138" s="15" t="n">
        <v>45870</v>
      </c>
      <c r="D138" s="16" t="n">
        <v>1280728</v>
      </c>
      <c r="E138" s="16" t="n">
        <v>1238494</v>
      </c>
      <c r="F138" s="17" t="n">
        <v>0.06565470948645953</v>
      </c>
      <c r="G138" s="16" t="n">
        <v>48108</v>
      </c>
      <c r="H138" s="16" t="n">
        <v>45184</v>
      </c>
      <c r="I138" s="16" t="n">
        <v>37492</v>
      </c>
      <c r="J138" s="16" t="n">
        <v>652416</v>
      </c>
      <c r="K138" s="16">
        <f>D138*F138</f>
        <v/>
      </c>
      <c r="L138" s="16">
        <f>K138+H138-I138</f>
        <v/>
      </c>
      <c r="M138" s="17">
        <f>IFERROR(L138/D138,0)</f>
        <v/>
      </c>
      <c r="N138" s="17">
        <f>IFERROR((L138*12)/J138,0)</f>
        <v/>
      </c>
      <c r="O138" s="17">
        <f>IFERROR(H138/G138,0)</f>
        <v/>
      </c>
      <c r="P138" s="16">
        <f>D138-E138</f>
        <v/>
      </c>
      <c r="Q138">
        <f>IF(M138&lt;0.06,"Below benchmark",IF(M138&lt;=0.08,"On target","Strong"))</f>
        <v/>
      </c>
    </row>
    <row r="139">
      <c r="A139" t="inlineStr">
        <is>
          <t>Hassan Wholesale</t>
        </is>
      </c>
      <c r="B139" t="inlineStr">
        <is>
          <t>Hassan</t>
        </is>
      </c>
      <c r="C139" s="15" t="n">
        <v>45901</v>
      </c>
      <c r="D139" s="16" t="n">
        <v>1009493</v>
      </c>
      <c r="E139" s="16" t="n">
        <v>911907</v>
      </c>
      <c r="F139" s="17" t="n">
        <v>0.07242992974424635</v>
      </c>
      <c r="G139" s="16" t="n">
        <v>41459</v>
      </c>
      <c r="H139" s="16" t="n">
        <v>39455</v>
      </c>
      <c r="I139" s="16" t="n">
        <v>35878</v>
      </c>
      <c r="J139" s="16" t="n">
        <v>502619</v>
      </c>
      <c r="K139" s="16">
        <f>D139*F139</f>
        <v/>
      </c>
      <c r="L139" s="16">
        <f>K139+H139-I139</f>
        <v/>
      </c>
      <c r="M139" s="17">
        <f>IFERROR(L139/D139,0)</f>
        <v/>
      </c>
      <c r="N139" s="17">
        <f>IFERROR((L139*12)/J139,0)</f>
        <v/>
      </c>
      <c r="O139" s="17">
        <f>IFERROR(H139/G139,0)</f>
        <v/>
      </c>
      <c r="P139" s="16">
        <f>D139-E139</f>
        <v/>
      </c>
      <c r="Q139">
        <f>IF(M139&lt;0.06,"Below benchmark",IF(M139&lt;=0.08,"On target","Strong"))</f>
        <v/>
      </c>
    </row>
    <row r="140">
      <c r="A140" t="inlineStr">
        <is>
          <t>Hassan Wholesale</t>
        </is>
      </c>
      <c r="B140" t="inlineStr">
        <is>
          <t>Hassan</t>
        </is>
      </c>
      <c r="C140" s="15" t="n">
        <v>45931</v>
      </c>
      <c r="D140" s="16" t="n">
        <v>1311694</v>
      </c>
      <c r="E140" s="16" t="n">
        <v>1288004</v>
      </c>
      <c r="F140" s="17" t="n">
        <v>0.06649567546612968</v>
      </c>
      <c r="G140" s="16" t="n">
        <v>25502</v>
      </c>
      <c r="H140" s="16" t="n">
        <v>22783</v>
      </c>
      <c r="I140" s="16" t="n">
        <v>38434</v>
      </c>
      <c r="J140" s="16" t="n">
        <v>530929</v>
      </c>
      <c r="K140" s="16">
        <f>D140*F140</f>
        <v/>
      </c>
      <c r="L140" s="16">
        <f>K140+H140-I140</f>
        <v/>
      </c>
      <c r="M140" s="17">
        <f>IFERROR(L140/D140,0)</f>
        <v/>
      </c>
      <c r="N140" s="17">
        <f>IFERROR((L140*12)/J140,0)</f>
        <v/>
      </c>
      <c r="O140" s="17">
        <f>IFERROR(H140/G140,0)</f>
        <v/>
      </c>
      <c r="P140" s="16">
        <f>D140-E140</f>
        <v/>
      </c>
      <c r="Q140">
        <f>IF(M140&lt;0.06,"Below benchmark",IF(M140&lt;=0.08,"On target","Strong"))</f>
        <v/>
      </c>
    </row>
    <row r="141">
      <c r="A141" t="inlineStr">
        <is>
          <t>Hassan Wholesale</t>
        </is>
      </c>
      <c r="B141" t="inlineStr">
        <is>
          <t>Hassan</t>
        </is>
      </c>
      <c r="C141" s="15" t="n">
        <v>45962</v>
      </c>
      <c r="D141" s="16" t="n">
        <v>928463</v>
      </c>
      <c r="E141" s="16" t="n">
        <v>916604</v>
      </c>
      <c r="F141" s="17" t="n">
        <v>0.07204235901477098</v>
      </c>
      <c r="G141" s="16" t="n">
        <v>36093</v>
      </c>
      <c r="H141" s="16" t="n">
        <v>31385</v>
      </c>
      <c r="I141" s="16" t="n">
        <v>38024</v>
      </c>
      <c r="J141" s="16" t="n">
        <v>492108</v>
      </c>
      <c r="K141" s="16">
        <f>D141*F141</f>
        <v/>
      </c>
      <c r="L141" s="16">
        <f>K141+H141-I141</f>
        <v/>
      </c>
      <c r="M141" s="17">
        <f>IFERROR(L141/D141,0)</f>
        <v/>
      </c>
      <c r="N141" s="17">
        <f>IFERROR((L141*12)/J141,0)</f>
        <v/>
      </c>
      <c r="O141" s="17">
        <f>IFERROR(H141/G141,0)</f>
        <v/>
      </c>
      <c r="P141" s="16">
        <f>D141-E141</f>
        <v/>
      </c>
      <c r="Q141">
        <f>IF(M141&lt;0.06,"Below benchmark",IF(M141&lt;=0.08,"On target","Strong"))</f>
        <v/>
      </c>
    </row>
    <row r="142">
      <c r="A142" t="inlineStr">
        <is>
          <t>Hassan Wholesale</t>
        </is>
      </c>
      <c r="B142" t="inlineStr">
        <is>
          <t>Hassan</t>
        </is>
      </c>
      <c r="C142" s="15" t="n">
        <v>45992</v>
      </c>
      <c r="D142" s="16" t="n">
        <v>1194525</v>
      </c>
      <c r="E142" s="16" t="n">
        <v>1167458</v>
      </c>
      <c r="F142" s="17" t="n">
        <v>0.07778512004848839</v>
      </c>
      <c r="G142" s="16" t="n">
        <v>37452</v>
      </c>
      <c r="H142" s="16" t="n">
        <v>35541</v>
      </c>
      <c r="I142" s="16" t="n">
        <v>45538</v>
      </c>
      <c r="J142" s="16" t="n">
        <v>705825</v>
      </c>
      <c r="K142" s="16">
        <f>D142*F142</f>
        <v/>
      </c>
      <c r="L142" s="16">
        <f>K142+H142-I142</f>
        <v/>
      </c>
      <c r="M142" s="17">
        <f>IFERROR(L142/D142,0)</f>
        <v/>
      </c>
      <c r="N142" s="17">
        <f>IFERROR((L142*12)/J142,0)</f>
        <v/>
      </c>
      <c r="O142" s="17">
        <f>IFERROR(H142/G142,0)</f>
        <v/>
      </c>
      <c r="P142" s="16">
        <f>D142-E142</f>
        <v/>
      </c>
      <c r="Q142">
        <f>IF(M142&lt;0.06,"Below benchmark",IF(M142&lt;=0.08,"On target","Strong"))</f>
        <v/>
      </c>
    </row>
    <row r="143">
      <c r="A143" t="inlineStr">
        <is>
          <t>Hassan Wholesale</t>
        </is>
      </c>
      <c r="B143" t="inlineStr">
        <is>
          <t>Hassan</t>
        </is>
      </c>
      <c r="C143" s="15" t="n">
        <v>46023</v>
      </c>
      <c r="D143" s="16" t="n">
        <v>1417296</v>
      </c>
      <c r="E143" s="16" t="n">
        <v>1284293</v>
      </c>
      <c r="F143" s="17" t="n">
        <v>0.0655384864975653</v>
      </c>
      <c r="G143" s="16" t="n">
        <v>45681</v>
      </c>
      <c r="H143" s="16" t="n">
        <v>40393</v>
      </c>
      <c r="I143" s="16" t="n">
        <v>34416</v>
      </c>
      <c r="J143" s="16" t="n">
        <v>569268</v>
      </c>
      <c r="K143" s="16">
        <f>D143*F143</f>
        <v/>
      </c>
      <c r="L143" s="16">
        <f>K143+H143-I143</f>
        <v/>
      </c>
      <c r="M143" s="17">
        <f>IFERROR(L143/D143,0)</f>
        <v/>
      </c>
      <c r="N143" s="17">
        <f>IFERROR((L143*12)/J143,0)</f>
        <v/>
      </c>
      <c r="O143" s="17">
        <f>IFERROR(H143/G143,0)</f>
        <v/>
      </c>
      <c r="P143" s="16">
        <f>D143-E143</f>
        <v/>
      </c>
      <c r="Q143">
        <f>IF(M143&lt;0.06,"Below benchmark",IF(M143&lt;=0.08,"On target","Strong"))</f>
        <v/>
      </c>
    </row>
    <row r="144">
      <c r="A144" t="inlineStr">
        <is>
          <t>Hassan Wholesale</t>
        </is>
      </c>
      <c r="B144" t="inlineStr">
        <is>
          <t>Hassan</t>
        </is>
      </c>
      <c r="C144" s="15" t="n">
        <v>46054</v>
      </c>
      <c r="D144" s="16" t="n">
        <v>944769</v>
      </c>
      <c r="E144" s="16" t="n">
        <v>858662</v>
      </c>
      <c r="F144" s="17" t="n">
        <v>0.07150957207884688</v>
      </c>
      <c r="G144" s="16" t="n">
        <v>45766</v>
      </c>
      <c r="H144" s="16" t="n">
        <v>40682</v>
      </c>
      <c r="I144" s="16" t="n">
        <v>28293</v>
      </c>
      <c r="J144" s="16" t="n">
        <v>682615</v>
      </c>
      <c r="K144" s="16">
        <f>D144*F144</f>
        <v/>
      </c>
      <c r="L144" s="16">
        <f>K144+H144-I144</f>
        <v/>
      </c>
      <c r="M144" s="17">
        <f>IFERROR(L144/D144,0)</f>
        <v/>
      </c>
      <c r="N144" s="17">
        <f>IFERROR((L144*12)/J144,0)</f>
        <v/>
      </c>
      <c r="O144" s="17">
        <f>IFERROR(H144/G144,0)</f>
        <v/>
      </c>
      <c r="P144" s="16">
        <f>D144-E144</f>
        <v/>
      </c>
      <c r="Q144">
        <f>IF(M144&lt;0.06,"Below benchmark",IF(M144&lt;=0.08,"On target","Strong"))</f>
        <v/>
      </c>
    </row>
    <row r="145">
      <c r="A145" t="inlineStr">
        <is>
          <t>Hassan Wholesale</t>
        </is>
      </c>
      <c r="B145" t="inlineStr">
        <is>
          <t>Hassan</t>
        </is>
      </c>
      <c r="C145" s="15" t="n">
        <v>46082</v>
      </c>
      <c r="D145" s="16" t="n">
        <v>1024446</v>
      </c>
      <c r="E145" s="16" t="n">
        <v>1005297</v>
      </c>
      <c r="F145" s="17" t="n">
        <v>0.07541001744189851</v>
      </c>
      <c r="G145" s="16" t="n">
        <v>26507</v>
      </c>
      <c r="H145" s="16" t="n">
        <v>21148</v>
      </c>
      <c r="I145" s="16" t="n">
        <v>26838</v>
      </c>
      <c r="J145" s="16" t="n">
        <v>603809</v>
      </c>
      <c r="K145" s="16">
        <f>D145*F145</f>
        <v/>
      </c>
      <c r="L145" s="16">
        <f>K145+H145-I145</f>
        <v/>
      </c>
      <c r="M145" s="17">
        <f>IFERROR(L145/D145,0)</f>
        <v/>
      </c>
      <c r="N145" s="17">
        <f>IFERROR((L145*12)/J145,0)</f>
        <v/>
      </c>
      <c r="O145" s="17">
        <f>IFERROR(H145/G145,0)</f>
        <v/>
      </c>
      <c r="P145" s="16">
        <f>D145-E145</f>
        <v/>
      </c>
      <c r="Q145">
        <f>IF(M145&lt;0.06,"Below benchmark",IF(M145&lt;=0.08,"On target","Strong"))</f>
        <v/>
      </c>
    </row>
    <row r="146">
      <c r="A146" t="inlineStr">
        <is>
          <t>Vijayapura Distributors</t>
        </is>
      </c>
      <c r="B146" t="inlineStr">
        <is>
          <t>Vijayapura</t>
        </is>
      </c>
      <c r="C146" s="15" t="n">
        <v>45748</v>
      </c>
      <c r="D146" s="16" t="n">
        <v>1225876</v>
      </c>
      <c r="E146" s="16" t="n">
        <v>989856</v>
      </c>
      <c r="F146" s="17" t="n">
        <v>0.05374841089775315</v>
      </c>
      <c r="G146" s="16" t="n">
        <v>62405</v>
      </c>
      <c r="H146" s="16" t="n">
        <v>31352</v>
      </c>
      <c r="I146" s="16" t="n">
        <v>87341</v>
      </c>
      <c r="J146" s="16" t="n">
        <v>794401</v>
      </c>
      <c r="K146" s="16">
        <f>D146*F146</f>
        <v/>
      </c>
      <c r="L146" s="16">
        <f>K146+H146-I146</f>
        <v/>
      </c>
      <c r="M146" s="17">
        <f>IFERROR(L146/D146,0)</f>
        <v/>
      </c>
      <c r="N146" s="17">
        <f>IFERROR((L146*12)/J146,0)</f>
        <v/>
      </c>
      <c r="O146" s="17">
        <f>IFERROR(H146/G146,0)</f>
        <v/>
      </c>
      <c r="P146" s="16">
        <f>D146-E146</f>
        <v/>
      </c>
      <c r="Q146">
        <f>IF(M146&lt;0.06,"Below benchmark",IF(M146&lt;=0.08,"On target","Strong"))</f>
        <v/>
      </c>
    </row>
    <row r="147">
      <c r="A147" t="inlineStr">
        <is>
          <t>Vijayapura Distributors</t>
        </is>
      </c>
      <c r="B147" t="inlineStr">
        <is>
          <t>Vijayapura</t>
        </is>
      </c>
      <c r="C147" s="15" t="n">
        <v>45778</v>
      </c>
      <c r="D147" s="16" t="n">
        <v>1028240</v>
      </c>
      <c r="E147" s="16" t="n">
        <v>887514</v>
      </c>
      <c r="F147" s="17" t="n">
        <v>0.05175069355062905</v>
      </c>
      <c r="G147" s="16" t="n">
        <v>57535</v>
      </c>
      <c r="H147" s="16" t="n">
        <v>31295</v>
      </c>
      <c r="I147" s="16" t="n">
        <v>72891</v>
      </c>
      <c r="J147" s="16" t="n">
        <v>960920</v>
      </c>
      <c r="K147" s="16">
        <f>D147*F147</f>
        <v/>
      </c>
      <c r="L147" s="16">
        <f>K147+H147-I147</f>
        <v/>
      </c>
      <c r="M147" s="17">
        <f>IFERROR(L147/D147,0)</f>
        <v/>
      </c>
      <c r="N147" s="17">
        <f>IFERROR((L147*12)/J147,0)</f>
        <v/>
      </c>
      <c r="O147" s="17">
        <f>IFERROR(H147/G147,0)</f>
        <v/>
      </c>
      <c r="P147" s="16">
        <f>D147-E147</f>
        <v/>
      </c>
      <c r="Q147">
        <f>IF(M147&lt;0.06,"Below benchmark",IF(M147&lt;=0.08,"On target","Strong"))</f>
        <v/>
      </c>
    </row>
    <row r="148">
      <c r="A148" t="inlineStr">
        <is>
          <t>Vijayapura Distributors</t>
        </is>
      </c>
      <c r="B148" t="inlineStr">
        <is>
          <t>Vijayapura</t>
        </is>
      </c>
      <c r="C148" s="15" t="n">
        <v>45809</v>
      </c>
      <c r="D148" s="16" t="n">
        <v>1000069</v>
      </c>
      <c r="E148" s="16" t="n">
        <v>866608</v>
      </c>
      <c r="F148" s="17" t="n">
        <v>0.05232188444295152</v>
      </c>
      <c r="G148" s="16" t="n">
        <v>60059</v>
      </c>
      <c r="H148" s="16" t="n">
        <v>28291</v>
      </c>
      <c r="I148" s="16" t="n">
        <v>65307</v>
      </c>
      <c r="J148" s="16" t="n">
        <v>943926</v>
      </c>
      <c r="K148" s="16">
        <f>D148*F148</f>
        <v/>
      </c>
      <c r="L148" s="16">
        <f>K148+H148-I148</f>
        <v/>
      </c>
      <c r="M148" s="17">
        <f>IFERROR(L148/D148,0)</f>
        <v/>
      </c>
      <c r="N148" s="17">
        <f>IFERROR((L148*12)/J148,0)</f>
        <v/>
      </c>
      <c r="O148" s="17">
        <f>IFERROR(H148/G148,0)</f>
        <v/>
      </c>
      <c r="P148" s="16">
        <f>D148-E148</f>
        <v/>
      </c>
      <c r="Q148">
        <f>IF(M148&lt;0.06,"Below benchmark",IF(M148&lt;=0.08,"On target","Strong"))</f>
        <v/>
      </c>
    </row>
    <row r="149">
      <c r="A149" t="inlineStr">
        <is>
          <t>Vijayapura Distributors</t>
        </is>
      </c>
      <c r="B149" t="inlineStr">
        <is>
          <t>Vijayapura</t>
        </is>
      </c>
      <c r="C149" s="15" t="n">
        <v>45839</v>
      </c>
      <c r="D149" s="16" t="n">
        <v>1151603</v>
      </c>
      <c r="E149" s="16" t="n">
        <v>931597</v>
      </c>
      <c r="F149" s="17" t="n">
        <v>0.0567761088569908</v>
      </c>
      <c r="G149" s="16" t="n">
        <v>59474</v>
      </c>
      <c r="H149" s="16" t="n">
        <v>36222</v>
      </c>
      <c r="I149" s="16" t="n">
        <v>84253</v>
      </c>
      <c r="J149" s="16" t="n">
        <v>856842</v>
      </c>
      <c r="K149" s="16">
        <f>D149*F149</f>
        <v/>
      </c>
      <c r="L149" s="16">
        <f>K149+H149-I149</f>
        <v/>
      </c>
      <c r="M149" s="17">
        <f>IFERROR(L149/D149,0)</f>
        <v/>
      </c>
      <c r="N149" s="17">
        <f>IFERROR((L149*12)/J149,0)</f>
        <v/>
      </c>
      <c r="O149" s="17">
        <f>IFERROR(H149/G149,0)</f>
        <v/>
      </c>
      <c r="P149" s="16">
        <f>D149-E149</f>
        <v/>
      </c>
      <c r="Q149">
        <f>IF(M149&lt;0.06,"Below benchmark",IF(M149&lt;=0.08,"On target","Strong"))</f>
        <v/>
      </c>
    </row>
    <row r="150">
      <c r="A150" t="inlineStr">
        <is>
          <t>Vijayapura Distributors</t>
        </is>
      </c>
      <c r="B150" t="inlineStr">
        <is>
          <t>Vijayapura</t>
        </is>
      </c>
      <c r="C150" s="15" t="n">
        <v>45870</v>
      </c>
      <c r="D150" s="16" t="n">
        <v>1294920</v>
      </c>
      <c r="E150" s="16" t="n">
        <v>1093974</v>
      </c>
      <c r="F150" s="17" t="n">
        <v>0.05690313512460129</v>
      </c>
      <c r="G150" s="16" t="n">
        <v>54899</v>
      </c>
      <c r="H150" s="16" t="n">
        <v>25244</v>
      </c>
      <c r="I150" s="16" t="n">
        <v>77605</v>
      </c>
      <c r="J150" s="16" t="n">
        <v>953340</v>
      </c>
      <c r="K150" s="16">
        <f>D150*F150</f>
        <v/>
      </c>
      <c r="L150" s="16">
        <f>K150+H150-I150</f>
        <v/>
      </c>
      <c r="M150" s="17">
        <f>IFERROR(L150/D150,0)</f>
        <v/>
      </c>
      <c r="N150" s="17">
        <f>IFERROR((L150*12)/J150,0)</f>
        <v/>
      </c>
      <c r="O150" s="17">
        <f>IFERROR(H150/G150,0)</f>
        <v/>
      </c>
      <c r="P150" s="16">
        <f>D150-E150</f>
        <v/>
      </c>
      <c r="Q150">
        <f>IF(M150&lt;0.06,"Below benchmark",IF(M150&lt;=0.08,"On target","Strong"))</f>
        <v/>
      </c>
    </row>
    <row r="151">
      <c r="A151" t="inlineStr">
        <is>
          <t>Vijayapura Distributors</t>
        </is>
      </c>
      <c r="B151" t="inlineStr">
        <is>
          <t>Vijayapura</t>
        </is>
      </c>
      <c r="C151" s="15" t="n">
        <v>45901</v>
      </c>
      <c r="D151" s="16" t="n">
        <v>961834</v>
      </c>
      <c r="E151" s="16" t="n">
        <v>825860</v>
      </c>
      <c r="F151" s="17" t="n">
        <v>0.05237205701927575</v>
      </c>
      <c r="G151" s="16" t="n">
        <v>63835</v>
      </c>
      <c r="H151" s="16" t="n">
        <v>30588</v>
      </c>
      <c r="I151" s="16" t="n">
        <v>87913</v>
      </c>
      <c r="J151" s="16" t="n">
        <v>854785</v>
      </c>
      <c r="K151" s="16">
        <f>D151*F151</f>
        <v/>
      </c>
      <c r="L151" s="16">
        <f>K151+H151-I151</f>
        <v/>
      </c>
      <c r="M151" s="17">
        <f>IFERROR(L151/D151,0)</f>
        <v/>
      </c>
      <c r="N151" s="17">
        <f>IFERROR((L151*12)/J151,0)</f>
        <v/>
      </c>
      <c r="O151" s="17">
        <f>IFERROR(H151/G151,0)</f>
        <v/>
      </c>
      <c r="P151" s="16">
        <f>D151-E151</f>
        <v/>
      </c>
      <c r="Q151">
        <f>IF(M151&lt;0.06,"Below benchmark",IF(M151&lt;=0.08,"On target","Strong"))</f>
        <v/>
      </c>
    </row>
    <row r="152">
      <c r="A152" t="inlineStr">
        <is>
          <t>Vijayapura Distributors</t>
        </is>
      </c>
      <c r="B152" t="inlineStr">
        <is>
          <t>Vijayapura</t>
        </is>
      </c>
      <c r="C152" s="15" t="n">
        <v>45931</v>
      </c>
      <c r="D152" s="16" t="n">
        <v>873005</v>
      </c>
      <c r="E152" s="16" t="n">
        <v>758630</v>
      </c>
      <c r="F152" s="17" t="n">
        <v>0.05977944484576862</v>
      </c>
      <c r="G152" s="16" t="n">
        <v>53994</v>
      </c>
      <c r="H152" s="16" t="n">
        <v>22764</v>
      </c>
      <c r="I152" s="16" t="n">
        <v>93346</v>
      </c>
      <c r="J152" s="16" t="n">
        <v>725713</v>
      </c>
      <c r="K152" s="16">
        <f>D152*F152</f>
        <v/>
      </c>
      <c r="L152" s="16">
        <f>K152+H152-I152</f>
        <v/>
      </c>
      <c r="M152" s="17">
        <f>IFERROR(L152/D152,0)</f>
        <v/>
      </c>
      <c r="N152" s="17">
        <f>IFERROR((L152*12)/J152,0)</f>
        <v/>
      </c>
      <c r="O152" s="17">
        <f>IFERROR(H152/G152,0)</f>
        <v/>
      </c>
      <c r="P152" s="16">
        <f>D152-E152</f>
        <v/>
      </c>
      <c r="Q152">
        <f>IF(M152&lt;0.06,"Below benchmark",IF(M152&lt;=0.08,"On target","Strong"))</f>
        <v/>
      </c>
    </row>
    <row r="153">
      <c r="A153" t="inlineStr">
        <is>
          <t>Vijayapura Distributors</t>
        </is>
      </c>
      <c r="B153" t="inlineStr">
        <is>
          <t>Vijayapura</t>
        </is>
      </c>
      <c r="C153" s="15" t="n">
        <v>45962</v>
      </c>
      <c r="D153" s="16" t="n">
        <v>1370856</v>
      </c>
      <c r="E153" s="16" t="n">
        <v>1231511</v>
      </c>
      <c r="F153" s="17" t="n">
        <v>0.05832838899673189</v>
      </c>
      <c r="G153" s="16" t="n">
        <v>70419</v>
      </c>
      <c r="H153" s="16" t="n">
        <v>40826</v>
      </c>
      <c r="I153" s="16" t="n">
        <v>84892</v>
      </c>
      <c r="J153" s="16" t="n">
        <v>884717</v>
      </c>
      <c r="K153" s="16">
        <f>D153*F153</f>
        <v/>
      </c>
      <c r="L153" s="16">
        <f>K153+H153-I153</f>
        <v/>
      </c>
      <c r="M153" s="17">
        <f>IFERROR(L153/D153,0)</f>
        <v/>
      </c>
      <c r="N153" s="17">
        <f>IFERROR((L153*12)/J153,0)</f>
        <v/>
      </c>
      <c r="O153" s="17">
        <f>IFERROR(H153/G153,0)</f>
        <v/>
      </c>
      <c r="P153" s="16">
        <f>D153-E153</f>
        <v/>
      </c>
      <c r="Q153">
        <f>IF(M153&lt;0.06,"Below benchmark",IF(M153&lt;=0.08,"On target","Strong"))</f>
        <v/>
      </c>
    </row>
    <row r="154">
      <c r="A154" t="inlineStr">
        <is>
          <t>Vijayapura Distributors</t>
        </is>
      </c>
      <c r="B154" t="inlineStr">
        <is>
          <t>Vijayapura</t>
        </is>
      </c>
      <c r="C154" s="15" t="n">
        <v>45992</v>
      </c>
      <c r="D154" s="16" t="n">
        <v>1079642</v>
      </c>
      <c r="E154" s="16" t="n">
        <v>933358</v>
      </c>
      <c r="F154" s="17" t="n">
        <v>0.05636617878005892</v>
      </c>
      <c r="G154" s="16" t="n">
        <v>67208</v>
      </c>
      <c r="H154" s="16" t="n">
        <v>38383</v>
      </c>
      <c r="I154" s="16" t="n">
        <v>90148</v>
      </c>
      <c r="J154" s="16" t="n">
        <v>771711</v>
      </c>
      <c r="K154" s="16">
        <f>D154*F154</f>
        <v/>
      </c>
      <c r="L154" s="16">
        <f>K154+H154-I154</f>
        <v/>
      </c>
      <c r="M154" s="17">
        <f>IFERROR(L154/D154,0)</f>
        <v/>
      </c>
      <c r="N154" s="17">
        <f>IFERROR((L154*12)/J154,0)</f>
        <v/>
      </c>
      <c r="O154" s="17">
        <f>IFERROR(H154/G154,0)</f>
        <v/>
      </c>
      <c r="P154" s="16">
        <f>D154-E154</f>
        <v/>
      </c>
      <c r="Q154">
        <f>IF(M154&lt;0.06,"Below benchmark",IF(M154&lt;=0.08,"On target","Strong"))</f>
        <v/>
      </c>
    </row>
    <row r="155">
      <c r="A155" t="inlineStr">
        <is>
          <t>Vijayapura Distributors</t>
        </is>
      </c>
      <c r="B155" t="inlineStr">
        <is>
          <t>Vijayapura</t>
        </is>
      </c>
      <c r="C155" s="15" t="n">
        <v>46023</v>
      </c>
      <c r="D155" s="16" t="n">
        <v>951883</v>
      </c>
      <c r="E155" s="16" t="n">
        <v>825816</v>
      </c>
      <c r="F155" s="17" t="n">
        <v>0.05903403704072968</v>
      </c>
      <c r="G155" s="16" t="n">
        <v>55123</v>
      </c>
      <c r="H155" s="16" t="n">
        <v>31845</v>
      </c>
      <c r="I155" s="16" t="n">
        <v>66093</v>
      </c>
      <c r="J155" s="16" t="n">
        <v>891292</v>
      </c>
      <c r="K155" s="16">
        <f>D155*F155</f>
        <v/>
      </c>
      <c r="L155" s="16">
        <f>K155+H155-I155</f>
        <v/>
      </c>
      <c r="M155" s="17">
        <f>IFERROR(L155/D155,0)</f>
        <v/>
      </c>
      <c r="N155" s="17">
        <f>IFERROR((L155*12)/J155,0)</f>
        <v/>
      </c>
      <c r="O155" s="17">
        <f>IFERROR(H155/G155,0)</f>
        <v/>
      </c>
      <c r="P155" s="16">
        <f>D155-E155</f>
        <v/>
      </c>
      <c r="Q155">
        <f>IF(M155&lt;0.06,"Below benchmark",IF(M155&lt;=0.08,"On target","Strong"))</f>
        <v/>
      </c>
    </row>
    <row r="156">
      <c r="A156" t="inlineStr">
        <is>
          <t>Vijayapura Distributors</t>
        </is>
      </c>
      <c r="B156" t="inlineStr">
        <is>
          <t>Vijayapura</t>
        </is>
      </c>
      <c r="C156" s="15" t="n">
        <v>46054</v>
      </c>
      <c r="D156" s="16" t="n">
        <v>987795</v>
      </c>
      <c r="E156" s="16" t="n">
        <v>815339</v>
      </c>
      <c r="F156" s="17" t="n">
        <v>0.05090133375746219</v>
      </c>
      <c r="G156" s="16" t="n">
        <v>69493</v>
      </c>
      <c r="H156" s="16" t="n">
        <v>34961</v>
      </c>
      <c r="I156" s="16" t="n">
        <v>71579</v>
      </c>
      <c r="J156" s="16" t="n">
        <v>769289</v>
      </c>
      <c r="K156" s="16">
        <f>D156*F156</f>
        <v/>
      </c>
      <c r="L156" s="16">
        <f>K156+H156-I156</f>
        <v/>
      </c>
      <c r="M156" s="17">
        <f>IFERROR(L156/D156,0)</f>
        <v/>
      </c>
      <c r="N156" s="17">
        <f>IFERROR((L156*12)/J156,0)</f>
        <v/>
      </c>
      <c r="O156" s="17">
        <f>IFERROR(H156/G156,0)</f>
        <v/>
      </c>
      <c r="P156" s="16">
        <f>D156-E156</f>
        <v/>
      </c>
      <c r="Q156">
        <f>IF(M156&lt;0.06,"Below benchmark",IF(M156&lt;=0.08,"On target","Strong"))</f>
        <v/>
      </c>
    </row>
    <row r="157">
      <c r="A157" t="inlineStr">
        <is>
          <t>Vijayapura Distributors</t>
        </is>
      </c>
      <c r="B157" t="inlineStr">
        <is>
          <t>Vijayapura</t>
        </is>
      </c>
      <c r="C157" s="15" t="n">
        <v>46082</v>
      </c>
      <c r="D157" s="16" t="n">
        <v>1415610</v>
      </c>
      <c r="E157" s="16" t="n">
        <v>1180481</v>
      </c>
      <c r="F157" s="17" t="n">
        <v>0.0587646059670664</v>
      </c>
      <c r="G157" s="16" t="n">
        <v>61442</v>
      </c>
      <c r="H157" s="16" t="n">
        <v>37030</v>
      </c>
      <c r="I157" s="16" t="n">
        <v>92212</v>
      </c>
      <c r="J157" s="16" t="n">
        <v>786268</v>
      </c>
      <c r="K157" s="16">
        <f>D157*F157</f>
        <v/>
      </c>
      <c r="L157" s="16">
        <f>K157+H157-I157</f>
        <v/>
      </c>
      <c r="M157" s="17">
        <f>IFERROR(L157/D157,0)</f>
        <v/>
      </c>
      <c r="N157" s="17">
        <f>IFERROR((L157*12)/J157,0)</f>
        <v/>
      </c>
      <c r="O157" s="17">
        <f>IFERROR(H157/G157,0)</f>
        <v/>
      </c>
      <c r="P157" s="16">
        <f>D157-E157</f>
        <v/>
      </c>
      <c r="Q157">
        <f>IF(M157&lt;0.06,"Below benchmark",IF(M157&lt;=0.08,"On target","Strong"))</f>
        <v/>
      </c>
    </row>
    <row r="158">
      <c r="A158" t="inlineStr">
        <is>
          <t>Chikkamagaluru Supply</t>
        </is>
      </c>
      <c r="B158" t="inlineStr">
        <is>
          <t>Chikkamagaluru</t>
        </is>
      </c>
      <c r="C158" s="15" t="n">
        <v>45748</v>
      </c>
      <c r="D158" s="16" t="n">
        <v>1119452</v>
      </c>
      <c r="E158" s="16" t="n">
        <v>1102634</v>
      </c>
      <c r="F158" s="17" t="n">
        <v>0.07871073430307468</v>
      </c>
      <c r="G158" s="16" t="n">
        <v>51427</v>
      </c>
      <c r="H158" s="16" t="n">
        <v>40670</v>
      </c>
      <c r="I158" s="16" t="n">
        <v>36099</v>
      </c>
      <c r="J158" s="16" t="n">
        <v>510382</v>
      </c>
      <c r="K158" s="16">
        <f>D158*F158</f>
        <v/>
      </c>
      <c r="L158" s="16">
        <f>K158+H158-I158</f>
        <v/>
      </c>
      <c r="M158" s="17">
        <f>IFERROR(L158/D158,0)</f>
        <v/>
      </c>
      <c r="N158" s="17">
        <f>IFERROR((L158*12)/J158,0)</f>
        <v/>
      </c>
      <c r="O158" s="17">
        <f>IFERROR(H158/G158,0)</f>
        <v/>
      </c>
      <c r="P158" s="16">
        <f>D158-E158</f>
        <v/>
      </c>
      <c r="Q158">
        <f>IF(M158&lt;0.06,"Below benchmark",IF(M158&lt;=0.08,"On target","Strong"))</f>
        <v/>
      </c>
    </row>
    <row r="159">
      <c r="A159" t="inlineStr">
        <is>
          <t>Chikkamagaluru Supply</t>
        </is>
      </c>
      <c r="B159" t="inlineStr">
        <is>
          <t>Chikkamagaluru</t>
        </is>
      </c>
      <c r="C159" s="15" t="n">
        <v>45778</v>
      </c>
      <c r="D159" s="16" t="n">
        <v>1341081</v>
      </c>
      <c r="E159" s="16" t="n">
        <v>1223961</v>
      </c>
      <c r="F159" s="17" t="n">
        <v>0.07944339939303316</v>
      </c>
      <c r="G159" s="16" t="n">
        <v>32392</v>
      </c>
      <c r="H159" s="16" t="n">
        <v>30009</v>
      </c>
      <c r="I159" s="16" t="n">
        <v>47098</v>
      </c>
      <c r="J159" s="16" t="n">
        <v>658358</v>
      </c>
      <c r="K159" s="16">
        <f>D159*F159</f>
        <v/>
      </c>
      <c r="L159" s="16">
        <f>K159+H159-I159</f>
        <v/>
      </c>
      <c r="M159" s="17">
        <f>IFERROR(L159/D159,0)</f>
        <v/>
      </c>
      <c r="N159" s="17">
        <f>IFERROR((L159*12)/J159,0)</f>
        <v/>
      </c>
      <c r="O159" s="17">
        <f>IFERROR(H159/G159,0)</f>
        <v/>
      </c>
      <c r="P159" s="16">
        <f>D159-E159</f>
        <v/>
      </c>
      <c r="Q159">
        <f>IF(M159&lt;0.06,"Below benchmark",IF(M159&lt;=0.08,"On target","Strong"))</f>
        <v/>
      </c>
    </row>
    <row r="160">
      <c r="A160" t="inlineStr">
        <is>
          <t>Chikkamagaluru Supply</t>
        </is>
      </c>
      <c r="B160" t="inlineStr">
        <is>
          <t>Chikkamagaluru</t>
        </is>
      </c>
      <c r="C160" s="15" t="n">
        <v>45809</v>
      </c>
      <c r="D160" s="16" t="n">
        <v>1434384</v>
      </c>
      <c r="E160" s="16" t="n">
        <v>1393018</v>
      </c>
      <c r="F160" s="17" t="n">
        <v>0.0704866257410835</v>
      </c>
      <c r="G160" s="16" t="n">
        <v>25456</v>
      </c>
      <c r="H160" s="16" t="n">
        <v>19944</v>
      </c>
      <c r="I160" s="16" t="n">
        <v>29049</v>
      </c>
      <c r="J160" s="16" t="n">
        <v>688438</v>
      </c>
      <c r="K160" s="16">
        <f>D160*F160</f>
        <v/>
      </c>
      <c r="L160" s="16">
        <f>K160+H160-I160</f>
        <v/>
      </c>
      <c r="M160" s="17">
        <f>IFERROR(L160/D160,0)</f>
        <v/>
      </c>
      <c r="N160" s="17">
        <f>IFERROR((L160*12)/J160,0)</f>
        <v/>
      </c>
      <c r="O160" s="17">
        <f>IFERROR(H160/G160,0)</f>
        <v/>
      </c>
      <c r="P160" s="16">
        <f>D160-E160</f>
        <v/>
      </c>
      <c r="Q160">
        <f>IF(M160&lt;0.06,"Below benchmark",IF(M160&lt;=0.08,"On target","Strong"))</f>
        <v/>
      </c>
    </row>
    <row r="161">
      <c r="A161" t="inlineStr">
        <is>
          <t>Chikkamagaluru Supply</t>
        </is>
      </c>
      <c r="B161" t="inlineStr">
        <is>
          <t>Chikkamagaluru</t>
        </is>
      </c>
      <c r="C161" s="15" t="n">
        <v>45839</v>
      </c>
      <c r="D161" s="16" t="n">
        <v>1236490</v>
      </c>
      <c r="E161" s="16" t="n">
        <v>1187661</v>
      </c>
      <c r="F161" s="17" t="n">
        <v>0.0750924257281063</v>
      </c>
      <c r="G161" s="16" t="n">
        <v>44154</v>
      </c>
      <c r="H161" s="16" t="n">
        <v>35828</v>
      </c>
      <c r="I161" s="16" t="n">
        <v>45923</v>
      </c>
      <c r="J161" s="16" t="n">
        <v>644759</v>
      </c>
      <c r="K161" s="16">
        <f>D161*F161</f>
        <v/>
      </c>
      <c r="L161" s="16">
        <f>K161+H161-I161</f>
        <v/>
      </c>
      <c r="M161" s="17">
        <f>IFERROR(L161/D161,0)</f>
        <v/>
      </c>
      <c r="N161" s="17">
        <f>IFERROR((L161*12)/J161,0)</f>
        <v/>
      </c>
      <c r="O161" s="17">
        <f>IFERROR(H161/G161,0)</f>
        <v/>
      </c>
      <c r="P161" s="16">
        <f>D161-E161</f>
        <v/>
      </c>
      <c r="Q161">
        <f>IF(M161&lt;0.06,"Below benchmark",IF(M161&lt;=0.08,"On target","Strong"))</f>
        <v/>
      </c>
    </row>
    <row r="162">
      <c r="A162" t="inlineStr">
        <is>
          <t>Chikkamagaluru Supply</t>
        </is>
      </c>
      <c r="B162" t="inlineStr">
        <is>
          <t>Chikkamagaluru</t>
        </is>
      </c>
      <c r="C162" s="15" t="n">
        <v>45870</v>
      </c>
      <c r="D162" s="16" t="n">
        <v>963609</v>
      </c>
      <c r="E162" s="16" t="n">
        <v>908136</v>
      </c>
      <c r="F162" s="17" t="n">
        <v>0.07512254833062983</v>
      </c>
      <c r="G162" s="16" t="n">
        <v>45301</v>
      </c>
      <c r="H162" s="16" t="n">
        <v>42230</v>
      </c>
      <c r="I162" s="16" t="n">
        <v>43396</v>
      </c>
      <c r="J162" s="16" t="n">
        <v>621969</v>
      </c>
      <c r="K162" s="16">
        <f>D162*F162</f>
        <v/>
      </c>
      <c r="L162" s="16">
        <f>K162+H162-I162</f>
        <v/>
      </c>
      <c r="M162" s="17">
        <f>IFERROR(L162/D162,0)</f>
        <v/>
      </c>
      <c r="N162" s="17">
        <f>IFERROR((L162*12)/J162,0)</f>
        <v/>
      </c>
      <c r="O162" s="17">
        <f>IFERROR(H162/G162,0)</f>
        <v/>
      </c>
      <c r="P162" s="16">
        <f>D162-E162</f>
        <v/>
      </c>
      <c r="Q162">
        <f>IF(M162&lt;0.06,"Below benchmark",IF(M162&lt;=0.08,"On target","Strong"))</f>
        <v/>
      </c>
    </row>
    <row r="163">
      <c r="A163" t="inlineStr">
        <is>
          <t>Chikkamagaluru Supply</t>
        </is>
      </c>
      <c r="B163" t="inlineStr">
        <is>
          <t>Chikkamagaluru</t>
        </is>
      </c>
      <c r="C163" s="15" t="n">
        <v>45901</v>
      </c>
      <c r="D163" s="16" t="n">
        <v>1082120</v>
      </c>
      <c r="E163" s="16" t="n">
        <v>1035790</v>
      </c>
      <c r="F163" s="17" t="n">
        <v>0.07471478570959163</v>
      </c>
      <c r="G163" s="16" t="n">
        <v>40213</v>
      </c>
      <c r="H163" s="16" t="n">
        <v>37729</v>
      </c>
      <c r="I163" s="16" t="n">
        <v>34902</v>
      </c>
      <c r="J163" s="16" t="n">
        <v>664064</v>
      </c>
      <c r="K163" s="16">
        <f>D163*F163</f>
        <v/>
      </c>
      <c r="L163" s="16">
        <f>K163+H163-I163</f>
        <v/>
      </c>
      <c r="M163" s="17">
        <f>IFERROR(L163/D163,0)</f>
        <v/>
      </c>
      <c r="N163" s="17">
        <f>IFERROR((L163*12)/J163,0)</f>
        <v/>
      </c>
      <c r="O163" s="17">
        <f>IFERROR(H163/G163,0)</f>
        <v/>
      </c>
      <c r="P163" s="16">
        <f>D163-E163</f>
        <v/>
      </c>
      <c r="Q163">
        <f>IF(M163&lt;0.06,"Below benchmark",IF(M163&lt;=0.08,"On target","Strong"))</f>
        <v/>
      </c>
    </row>
    <row r="164">
      <c r="A164" t="inlineStr">
        <is>
          <t>Chikkamagaluru Supply</t>
        </is>
      </c>
      <c r="B164" t="inlineStr">
        <is>
          <t>Chikkamagaluru</t>
        </is>
      </c>
      <c r="C164" s="15" t="n">
        <v>45931</v>
      </c>
      <c r="D164" s="16" t="n">
        <v>972343</v>
      </c>
      <c r="E164" s="16" t="n">
        <v>957916</v>
      </c>
      <c r="F164" s="17" t="n">
        <v>0.06709665518760832</v>
      </c>
      <c r="G164" s="16" t="n">
        <v>34973</v>
      </c>
      <c r="H164" s="16" t="n">
        <v>33539</v>
      </c>
      <c r="I164" s="16" t="n">
        <v>28805</v>
      </c>
      <c r="J164" s="16" t="n">
        <v>500956</v>
      </c>
      <c r="K164" s="16">
        <f>D164*F164</f>
        <v/>
      </c>
      <c r="L164" s="16">
        <f>K164+H164-I164</f>
        <v/>
      </c>
      <c r="M164" s="17">
        <f>IFERROR(L164/D164,0)</f>
        <v/>
      </c>
      <c r="N164" s="17">
        <f>IFERROR((L164*12)/J164,0)</f>
        <v/>
      </c>
      <c r="O164" s="17">
        <f>IFERROR(H164/G164,0)</f>
        <v/>
      </c>
      <c r="P164" s="16">
        <f>D164-E164</f>
        <v/>
      </c>
      <c r="Q164">
        <f>IF(M164&lt;0.06,"Below benchmark",IF(M164&lt;=0.08,"On target","Strong"))</f>
        <v/>
      </c>
    </row>
    <row r="165">
      <c r="A165" t="inlineStr">
        <is>
          <t>Chikkamagaluru Supply</t>
        </is>
      </c>
      <c r="B165" t="inlineStr">
        <is>
          <t>Chikkamagaluru</t>
        </is>
      </c>
      <c r="C165" s="15" t="n">
        <v>45962</v>
      </c>
      <c r="D165" s="16" t="n">
        <v>1096205</v>
      </c>
      <c r="E165" s="16" t="n">
        <v>999968</v>
      </c>
      <c r="F165" s="17" t="n">
        <v>0.07830888962792754</v>
      </c>
      <c r="G165" s="16" t="n">
        <v>39864</v>
      </c>
      <c r="H165" s="16" t="n">
        <v>32251</v>
      </c>
      <c r="I165" s="16" t="n">
        <v>47822</v>
      </c>
      <c r="J165" s="16" t="n">
        <v>733216</v>
      </c>
      <c r="K165" s="16">
        <f>D165*F165</f>
        <v/>
      </c>
      <c r="L165" s="16">
        <f>K165+H165-I165</f>
        <v/>
      </c>
      <c r="M165" s="17">
        <f>IFERROR(L165/D165,0)</f>
        <v/>
      </c>
      <c r="N165" s="17">
        <f>IFERROR((L165*12)/J165,0)</f>
        <v/>
      </c>
      <c r="O165" s="17">
        <f>IFERROR(H165/G165,0)</f>
        <v/>
      </c>
      <c r="P165" s="16">
        <f>D165-E165</f>
        <v/>
      </c>
      <c r="Q165">
        <f>IF(M165&lt;0.06,"Below benchmark",IF(M165&lt;=0.08,"On target","Strong"))</f>
        <v/>
      </c>
    </row>
    <row r="166">
      <c r="A166" t="inlineStr">
        <is>
          <t>Chikkamagaluru Supply</t>
        </is>
      </c>
      <c r="B166" t="inlineStr">
        <is>
          <t>Chikkamagaluru</t>
        </is>
      </c>
      <c r="C166" s="15" t="n">
        <v>45992</v>
      </c>
      <c r="D166" s="16" t="n">
        <v>1289486</v>
      </c>
      <c r="E166" s="16" t="n">
        <v>1244861</v>
      </c>
      <c r="F166" s="17" t="n">
        <v>0.07381010518322911</v>
      </c>
      <c r="G166" s="16" t="n">
        <v>54013</v>
      </c>
      <c r="H166" s="16" t="n">
        <v>44267</v>
      </c>
      <c r="I166" s="16" t="n">
        <v>28244</v>
      </c>
      <c r="J166" s="16" t="n">
        <v>706558</v>
      </c>
      <c r="K166" s="16">
        <f>D166*F166</f>
        <v/>
      </c>
      <c r="L166" s="16">
        <f>K166+H166-I166</f>
        <v/>
      </c>
      <c r="M166" s="17">
        <f>IFERROR(L166/D166,0)</f>
        <v/>
      </c>
      <c r="N166" s="17">
        <f>IFERROR((L166*12)/J166,0)</f>
        <v/>
      </c>
      <c r="O166" s="17">
        <f>IFERROR(H166/G166,0)</f>
        <v/>
      </c>
      <c r="P166" s="16">
        <f>D166-E166</f>
        <v/>
      </c>
      <c r="Q166">
        <f>IF(M166&lt;0.06,"Below benchmark",IF(M166&lt;=0.08,"On target","Strong"))</f>
        <v/>
      </c>
    </row>
    <row r="167">
      <c r="A167" t="inlineStr">
        <is>
          <t>Chikkamagaluru Supply</t>
        </is>
      </c>
      <c r="B167" t="inlineStr">
        <is>
          <t>Chikkamagaluru</t>
        </is>
      </c>
      <c r="C167" s="15" t="n">
        <v>46023</v>
      </c>
      <c r="D167" s="16" t="n">
        <v>1277940</v>
      </c>
      <c r="E167" s="16" t="n">
        <v>1182320</v>
      </c>
      <c r="F167" s="17" t="n">
        <v>0.07908579598570484</v>
      </c>
      <c r="G167" s="16" t="n">
        <v>47619</v>
      </c>
      <c r="H167" s="16" t="n">
        <v>38520</v>
      </c>
      <c r="I167" s="16" t="n">
        <v>39528</v>
      </c>
      <c r="J167" s="16" t="n">
        <v>683148</v>
      </c>
      <c r="K167" s="16">
        <f>D167*F167</f>
        <v/>
      </c>
      <c r="L167" s="16">
        <f>K167+H167-I167</f>
        <v/>
      </c>
      <c r="M167" s="17">
        <f>IFERROR(L167/D167,0)</f>
        <v/>
      </c>
      <c r="N167" s="17">
        <f>IFERROR((L167*12)/J167,0)</f>
        <v/>
      </c>
      <c r="O167" s="17">
        <f>IFERROR(H167/G167,0)</f>
        <v/>
      </c>
      <c r="P167" s="16">
        <f>D167-E167</f>
        <v/>
      </c>
      <c r="Q167">
        <f>IF(M167&lt;0.06,"Below benchmark",IF(M167&lt;=0.08,"On target","Strong"))</f>
        <v/>
      </c>
    </row>
    <row r="168">
      <c r="A168" t="inlineStr">
        <is>
          <t>Chikkamagaluru Supply</t>
        </is>
      </c>
      <c r="B168" t="inlineStr">
        <is>
          <t>Chikkamagaluru</t>
        </is>
      </c>
      <c r="C168" s="15" t="n">
        <v>46054</v>
      </c>
      <c r="D168" s="16" t="n">
        <v>1097582</v>
      </c>
      <c r="E168" s="16" t="n">
        <v>997638</v>
      </c>
      <c r="F168" s="17" t="n">
        <v>0.07783175289958932</v>
      </c>
      <c r="G168" s="16" t="n">
        <v>47468</v>
      </c>
      <c r="H168" s="16" t="n">
        <v>38361</v>
      </c>
      <c r="I168" s="16" t="n">
        <v>46129</v>
      </c>
      <c r="J168" s="16" t="n">
        <v>638048</v>
      </c>
      <c r="K168" s="16">
        <f>D168*F168</f>
        <v/>
      </c>
      <c r="L168" s="16">
        <f>K168+H168-I168</f>
        <v/>
      </c>
      <c r="M168" s="17">
        <f>IFERROR(L168/D168,0)</f>
        <v/>
      </c>
      <c r="N168" s="17">
        <f>IFERROR((L168*12)/J168,0)</f>
        <v/>
      </c>
      <c r="O168" s="17">
        <f>IFERROR(H168/G168,0)</f>
        <v/>
      </c>
      <c r="P168" s="16">
        <f>D168-E168</f>
        <v/>
      </c>
      <c r="Q168">
        <f>IF(M168&lt;0.06,"Below benchmark",IF(M168&lt;=0.08,"On target","Strong"))</f>
        <v/>
      </c>
    </row>
    <row r="169">
      <c r="A169" t="inlineStr">
        <is>
          <t>Chikkamagaluru Supply</t>
        </is>
      </c>
      <c r="B169" t="inlineStr">
        <is>
          <t>Chikkamagaluru</t>
        </is>
      </c>
      <c r="C169" s="15" t="n">
        <v>46082</v>
      </c>
      <c r="D169" s="16" t="n">
        <v>913491</v>
      </c>
      <c r="E169" s="16" t="n">
        <v>837746</v>
      </c>
      <c r="F169" s="17" t="n">
        <v>0.07097209464116559</v>
      </c>
      <c r="G169" s="16" t="n">
        <v>29002</v>
      </c>
      <c r="H169" s="16" t="n">
        <v>27487</v>
      </c>
      <c r="I169" s="16" t="n">
        <v>39900</v>
      </c>
      <c r="J169" s="16" t="n">
        <v>498063</v>
      </c>
      <c r="K169" s="16">
        <f>D169*F169</f>
        <v/>
      </c>
      <c r="L169" s="16">
        <f>K169+H169-I169</f>
        <v/>
      </c>
      <c r="M169" s="17">
        <f>IFERROR(L169/D169,0)</f>
        <v/>
      </c>
      <c r="N169" s="17">
        <f>IFERROR((L169*12)/J169,0)</f>
        <v/>
      </c>
      <c r="O169" s="17">
        <f>IFERROR(H169/G169,0)</f>
        <v/>
      </c>
      <c r="P169" s="16">
        <f>D169-E169</f>
        <v/>
      </c>
      <c r="Q169">
        <f>IF(M169&lt;0.06,"Below benchmark",IF(M169&lt;=0.08,"On target","Strong"))</f>
        <v/>
      </c>
    </row>
    <row r="170">
      <c r="A170" t="inlineStr">
        <is>
          <t>Mandya Trade House</t>
        </is>
      </c>
      <c r="B170" t="inlineStr">
        <is>
          <t>Mandya</t>
        </is>
      </c>
      <c r="C170" s="15" t="n">
        <v>45748</v>
      </c>
      <c r="D170" s="16" t="n">
        <v>1072409</v>
      </c>
      <c r="E170" s="16" t="n">
        <v>1022802</v>
      </c>
      <c r="F170" s="17" t="n">
        <v>0.07462556700849826</v>
      </c>
      <c r="G170" s="16" t="n">
        <v>25699</v>
      </c>
      <c r="H170" s="16" t="n">
        <v>18815</v>
      </c>
      <c r="I170" s="16" t="n">
        <v>35928</v>
      </c>
      <c r="J170" s="16" t="n">
        <v>577700</v>
      </c>
      <c r="K170" s="16">
        <f>D170*F170</f>
        <v/>
      </c>
      <c r="L170" s="16">
        <f>K170+H170-I170</f>
        <v/>
      </c>
      <c r="M170" s="17">
        <f>IFERROR(L170/D170,0)</f>
        <v/>
      </c>
      <c r="N170" s="17">
        <f>IFERROR((L170*12)/J170,0)</f>
        <v/>
      </c>
      <c r="O170" s="17">
        <f>IFERROR(H170/G170,0)</f>
        <v/>
      </c>
      <c r="P170" s="16">
        <f>D170-E170</f>
        <v/>
      </c>
      <c r="Q170">
        <f>IF(M170&lt;0.06,"Below benchmark",IF(M170&lt;=0.08,"On target","Strong"))</f>
        <v/>
      </c>
    </row>
    <row r="171">
      <c r="A171" t="inlineStr">
        <is>
          <t>Mandya Trade House</t>
        </is>
      </c>
      <c r="B171" t="inlineStr">
        <is>
          <t>Mandya</t>
        </is>
      </c>
      <c r="C171" s="15" t="n">
        <v>45778</v>
      </c>
      <c r="D171" s="16" t="n">
        <v>982040</v>
      </c>
      <c r="E171" s="16" t="n">
        <v>901972</v>
      </c>
      <c r="F171" s="17" t="n">
        <v>0.07680467149964473</v>
      </c>
      <c r="G171" s="16" t="n">
        <v>52191</v>
      </c>
      <c r="H171" s="16" t="n">
        <v>47161</v>
      </c>
      <c r="I171" s="16" t="n">
        <v>31788</v>
      </c>
      <c r="J171" s="16" t="n">
        <v>563220</v>
      </c>
      <c r="K171" s="16">
        <f>D171*F171</f>
        <v/>
      </c>
      <c r="L171" s="16">
        <f>K171+H171-I171</f>
        <v/>
      </c>
      <c r="M171" s="17">
        <f>IFERROR(L171/D171,0)</f>
        <v/>
      </c>
      <c r="N171" s="17">
        <f>IFERROR((L171*12)/J171,0)</f>
        <v/>
      </c>
      <c r="O171" s="17">
        <f>IFERROR(H171/G171,0)</f>
        <v/>
      </c>
      <c r="P171" s="16">
        <f>D171-E171</f>
        <v/>
      </c>
      <c r="Q171">
        <f>IF(M171&lt;0.06,"Below benchmark",IF(M171&lt;=0.08,"On target","Strong"))</f>
        <v/>
      </c>
    </row>
    <row r="172">
      <c r="A172" t="inlineStr">
        <is>
          <t>Mandya Trade House</t>
        </is>
      </c>
      <c r="B172" t="inlineStr">
        <is>
          <t>Mandya</t>
        </is>
      </c>
      <c r="C172" s="15" t="n">
        <v>45809</v>
      </c>
      <c r="D172" s="16" t="n">
        <v>1094316</v>
      </c>
      <c r="E172" s="16" t="n">
        <v>999416</v>
      </c>
      <c r="F172" s="17" t="n">
        <v>0.06992839330148345</v>
      </c>
      <c r="G172" s="16" t="n">
        <v>54508</v>
      </c>
      <c r="H172" s="16" t="n">
        <v>47042</v>
      </c>
      <c r="I172" s="16" t="n">
        <v>34085</v>
      </c>
      <c r="J172" s="16" t="n">
        <v>525858</v>
      </c>
      <c r="K172" s="16">
        <f>D172*F172</f>
        <v/>
      </c>
      <c r="L172" s="16">
        <f>K172+H172-I172</f>
        <v/>
      </c>
      <c r="M172" s="17">
        <f>IFERROR(L172/D172,0)</f>
        <v/>
      </c>
      <c r="N172" s="17">
        <f>IFERROR((L172*12)/J172,0)</f>
        <v/>
      </c>
      <c r="O172" s="17">
        <f>IFERROR(H172/G172,0)</f>
        <v/>
      </c>
      <c r="P172" s="16">
        <f>D172-E172</f>
        <v/>
      </c>
      <c r="Q172">
        <f>IF(M172&lt;0.06,"Below benchmark",IF(M172&lt;=0.08,"On target","Strong"))</f>
        <v/>
      </c>
    </row>
    <row r="173">
      <c r="A173" t="inlineStr">
        <is>
          <t>Mandya Trade House</t>
        </is>
      </c>
      <c r="B173" t="inlineStr">
        <is>
          <t>Mandya</t>
        </is>
      </c>
      <c r="C173" s="15" t="n">
        <v>45839</v>
      </c>
      <c r="D173" s="16" t="n">
        <v>986306</v>
      </c>
      <c r="E173" s="16" t="n">
        <v>958557</v>
      </c>
      <c r="F173" s="17" t="n">
        <v>0.07310323185294727</v>
      </c>
      <c r="G173" s="16" t="n">
        <v>28602</v>
      </c>
      <c r="H173" s="16" t="n">
        <v>25131</v>
      </c>
      <c r="I173" s="16" t="n">
        <v>25844</v>
      </c>
      <c r="J173" s="16" t="n">
        <v>519102</v>
      </c>
      <c r="K173" s="16">
        <f>D173*F173</f>
        <v/>
      </c>
      <c r="L173" s="16">
        <f>K173+H173-I173</f>
        <v/>
      </c>
      <c r="M173" s="17">
        <f>IFERROR(L173/D173,0)</f>
        <v/>
      </c>
      <c r="N173" s="17">
        <f>IFERROR((L173*12)/J173,0)</f>
        <v/>
      </c>
      <c r="O173" s="17">
        <f>IFERROR(H173/G173,0)</f>
        <v/>
      </c>
      <c r="P173" s="16">
        <f>D173-E173</f>
        <v/>
      </c>
      <c r="Q173">
        <f>IF(M173&lt;0.06,"Below benchmark",IF(M173&lt;=0.08,"On target","Strong"))</f>
        <v/>
      </c>
    </row>
    <row r="174">
      <c r="A174" t="inlineStr">
        <is>
          <t>Mandya Trade House</t>
        </is>
      </c>
      <c r="B174" t="inlineStr">
        <is>
          <t>Mandya</t>
        </is>
      </c>
      <c r="C174" s="15" t="n">
        <v>45870</v>
      </c>
      <c r="D174" s="16" t="n">
        <v>865582</v>
      </c>
      <c r="E174" s="16" t="n">
        <v>840444</v>
      </c>
      <c r="F174" s="17" t="n">
        <v>0.07037363418824799</v>
      </c>
      <c r="G174" s="16" t="n">
        <v>44295</v>
      </c>
      <c r="H174" s="16" t="n">
        <v>35334</v>
      </c>
      <c r="I174" s="16" t="n">
        <v>30709</v>
      </c>
      <c r="J174" s="16" t="n">
        <v>589129</v>
      </c>
      <c r="K174" s="16">
        <f>D174*F174</f>
        <v/>
      </c>
      <c r="L174" s="16">
        <f>K174+H174-I174</f>
        <v/>
      </c>
      <c r="M174" s="17">
        <f>IFERROR(L174/D174,0)</f>
        <v/>
      </c>
      <c r="N174" s="17">
        <f>IFERROR((L174*12)/J174,0)</f>
        <v/>
      </c>
      <c r="O174" s="17">
        <f>IFERROR(H174/G174,0)</f>
        <v/>
      </c>
      <c r="P174" s="16">
        <f>D174-E174</f>
        <v/>
      </c>
      <c r="Q174">
        <f>IF(M174&lt;0.06,"Below benchmark",IF(M174&lt;=0.08,"On target","Strong"))</f>
        <v/>
      </c>
    </row>
    <row r="175">
      <c r="A175" t="inlineStr">
        <is>
          <t>Mandya Trade House</t>
        </is>
      </c>
      <c r="B175" t="inlineStr">
        <is>
          <t>Mandya</t>
        </is>
      </c>
      <c r="C175" s="15" t="n">
        <v>45901</v>
      </c>
      <c r="D175" s="16" t="n">
        <v>904944</v>
      </c>
      <c r="E175" s="16" t="n">
        <v>848734</v>
      </c>
      <c r="F175" s="17" t="n">
        <v>0.06690137815569171</v>
      </c>
      <c r="G175" s="16" t="n">
        <v>28724</v>
      </c>
      <c r="H175" s="16" t="n">
        <v>25821</v>
      </c>
      <c r="I175" s="16" t="n">
        <v>40605</v>
      </c>
      <c r="J175" s="16" t="n">
        <v>685025</v>
      </c>
      <c r="K175" s="16">
        <f>D175*F175</f>
        <v/>
      </c>
      <c r="L175" s="16">
        <f>K175+H175-I175</f>
        <v/>
      </c>
      <c r="M175" s="17">
        <f>IFERROR(L175/D175,0)</f>
        <v/>
      </c>
      <c r="N175" s="17">
        <f>IFERROR((L175*12)/J175,0)</f>
        <v/>
      </c>
      <c r="O175" s="17">
        <f>IFERROR(H175/G175,0)</f>
        <v/>
      </c>
      <c r="P175" s="16">
        <f>D175-E175</f>
        <v/>
      </c>
      <c r="Q175">
        <f>IF(M175&lt;0.06,"Below benchmark",IF(M175&lt;=0.08,"On target","Strong"))</f>
        <v/>
      </c>
    </row>
    <row r="176">
      <c r="A176" t="inlineStr">
        <is>
          <t>Mandya Trade House</t>
        </is>
      </c>
      <c r="B176" t="inlineStr">
        <is>
          <t>Mandya</t>
        </is>
      </c>
      <c r="C176" s="15" t="n">
        <v>45931</v>
      </c>
      <c r="D176" s="16" t="n">
        <v>1229625</v>
      </c>
      <c r="E176" s="16" t="n">
        <v>1118731</v>
      </c>
      <c r="F176" s="17" t="n">
        <v>0.07269856936413788</v>
      </c>
      <c r="G176" s="16" t="n">
        <v>41509</v>
      </c>
      <c r="H176" s="16" t="n">
        <v>32093</v>
      </c>
      <c r="I176" s="16" t="n">
        <v>45155</v>
      </c>
      <c r="J176" s="16" t="n">
        <v>472735</v>
      </c>
      <c r="K176" s="16">
        <f>D176*F176</f>
        <v/>
      </c>
      <c r="L176" s="16">
        <f>K176+H176-I176</f>
        <v/>
      </c>
      <c r="M176" s="17">
        <f>IFERROR(L176/D176,0)</f>
        <v/>
      </c>
      <c r="N176" s="17">
        <f>IFERROR((L176*12)/J176,0)</f>
        <v/>
      </c>
      <c r="O176" s="17">
        <f>IFERROR(H176/G176,0)</f>
        <v/>
      </c>
      <c r="P176" s="16">
        <f>D176-E176</f>
        <v/>
      </c>
      <c r="Q176">
        <f>IF(M176&lt;0.06,"Below benchmark",IF(M176&lt;=0.08,"On target","Strong"))</f>
        <v/>
      </c>
    </row>
    <row r="177">
      <c r="A177" t="inlineStr">
        <is>
          <t>Mandya Trade House</t>
        </is>
      </c>
      <c r="B177" t="inlineStr">
        <is>
          <t>Mandya</t>
        </is>
      </c>
      <c r="C177" s="15" t="n">
        <v>45962</v>
      </c>
      <c r="D177" s="16" t="n">
        <v>1396781</v>
      </c>
      <c r="E177" s="16" t="n">
        <v>1337977</v>
      </c>
      <c r="F177" s="17" t="n">
        <v>0.06952445493542134</v>
      </c>
      <c r="G177" s="16" t="n">
        <v>26020</v>
      </c>
      <c r="H177" s="16" t="n">
        <v>19114</v>
      </c>
      <c r="I177" s="16" t="n">
        <v>40695</v>
      </c>
      <c r="J177" s="16" t="n">
        <v>660563</v>
      </c>
      <c r="K177" s="16">
        <f>D177*F177</f>
        <v/>
      </c>
      <c r="L177" s="16">
        <f>K177+H177-I177</f>
        <v/>
      </c>
      <c r="M177" s="17">
        <f>IFERROR(L177/D177,0)</f>
        <v/>
      </c>
      <c r="N177" s="17">
        <f>IFERROR((L177*12)/J177,0)</f>
        <v/>
      </c>
      <c r="O177" s="17">
        <f>IFERROR(H177/G177,0)</f>
        <v/>
      </c>
      <c r="P177" s="16">
        <f>D177-E177</f>
        <v/>
      </c>
      <c r="Q177">
        <f>IF(M177&lt;0.06,"Below benchmark",IF(M177&lt;=0.08,"On target","Strong"))</f>
        <v/>
      </c>
    </row>
    <row r="178">
      <c r="A178" t="inlineStr">
        <is>
          <t>Mandya Trade House</t>
        </is>
      </c>
      <c r="B178" t="inlineStr">
        <is>
          <t>Mandya</t>
        </is>
      </c>
      <c r="C178" s="15" t="n">
        <v>45992</v>
      </c>
      <c r="D178" s="16" t="n">
        <v>1296980</v>
      </c>
      <c r="E178" s="16" t="n">
        <v>1224510</v>
      </c>
      <c r="F178" s="17" t="n">
        <v>0.07529146244093349</v>
      </c>
      <c r="G178" s="16" t="n">
        <v>54809</v>
      </c>
      <c r="H178" s="16" t="n">
        <v>45297</v>
      </c>
      <c r="I178" s="16" t="n">
        <v>27647</v>
      </c>
      <c r="J178" s="16" t="n">
        <v>618879</v>
      </c>
      <c r="K178" s="16">
        <f>D178*F178</f>
        <v/>
      </c>
      <c r="L178" s="16">
        <f>K178+H178-I178</f>
        <v/>
      </c>
      <c r="M178" s="17">
        <f>IFERROR(L178/D178,0)</f>
        <v/>
      </c>
      <c r="N178" s="17">
        <f>IFERROR((L178*12)/J178,0)</f>
        <v/>
      </c>
      <c r="O178" s="17">
        <f>IFERROR(H178/G178,0)</f>
        <v/>
      </c>
      <c r="P178" s="16">
        <f>D178-E178</f>
        <v/>
      </c>
      <c r="Q178">
        <f>IF(M178&lt;0.06,"Below benchmark",IF(M178&lt;=0.08,"On target","Strong"))</f>
        <v/>
      </c>
    </row>
    <row r="179">
      <c r="A179" t="inlineStr">
        <is>
          <t>Mandya Trade House</t>
        </is>
      </c>
      <c r="B179" t="inlineStr">
        <is>
          <t>Mandya</t>
        </is>
      </c>
      <c r="C179" s="15" t="n">
        <v>46023</v>
      </c>
      <c r="D179" s="16" t="n">
        <v>1005539</v>
      </c>
      <c r="E179" s="16" t="n">
        <v>929873</v>
      </c>
      <c r="F179" s="17" t="n">
        <v>0.0659852334998017</v>
      </c>
      <c r="G179" s="16" t="n">
        <v>45744</v>
      </c>
      <c r="H179" s="16" t="n">
        <v>39362</v>
      </c>
      <c r="I179" s="16" t="n">
        <v>35655</v>
      </c>
      <c r="J179" s="16" t="n">
        <v>649703</v>
      </c>
      <c r="K179" s="16">
        <f>D179*F179</f>
        <v/>
      </c>
      <c r="L179" s="16">
        <f>K179+H179-I179</f>
        <v/>
      </c>
      <c r="M179" s="17">
        <f>IFERROR(L179/D179,0)</f>
        <v/>
      </c>
      <c r="N179" s="17">
        <f>IFERROR((L179*12)/J179,0)</f>
        <v/>
      </c>
      <c r="O179" s="17">
        <f>IFERROR(H179/G179,0)</f>
        <v/>
      </c>
      <c r="P179" s="16">
        <f>D179-E179</f>
        <v/>
      </c>
      <c r="Q179">
        <f>IF(M179&lt;0.06,"Below benchmark",IF(M179&lt;=0.08,"On target","Strong"))</f>
        <v/>
      </c>
    </row>
    <row r="180">
      <c r="A180" t="inlineStr">
        <is>
          <t>Mandya Trade House</t>
        </is>
      </c>
      <c r="B180" t="inlineStr">
        <is>
          <t>Mandya</t>
        </is>
      </c>
      <c r="C180" s="15" t="n">
        <v>46054</v>
      </c>
      <c r="D180" s="16" t="n">
        <v>1406329</v>
      </c>
      <c r="E180" s="16" t="n">
        <v>1329683</v>
      </c>
      <c r="F180" s="17" t="n">
        <v>0.06942346618924836</v>
      </c>
      <c r="G180" s="16" t="n">
        <v>39096</v>
      </c>
      <c r="H180" s="16" t="n">
        <v>29079</v>
      </c>
      <c r="I180" s="16" t="n">
        <v>47995</v>
      </c>
      <c r="J180" s="16" t="n">
        <v>509985</v>
      </c>
      <c r="K180" s="16">
        <f>D180*F180</f>
        <v/>
      </c>
      <c r="L180" s="16">
        <f>K180+H180-I180</f>
        <v/>
      </c>
      <c r="M180" s="17">
        <f>IFERROR(L180/D180,0)</f>
        <v/>
      </c>
      <c r="N180" s="17">
        <f>IFERROR((L180*12)/J180,0)</f>
        <v/>
      </c>
      <c r="O180" s="17">
        <f>IFERROR(H180/G180,0)</f>
        <v/>
      </c>
      <c r="P180" s="16">
        <f>D180-E180</f>
        <v/>
      </c>
      <c r="Q180">
        <f>IF(M180&lt;0.06,"Below benchmark",IF(M180&lt;=0.08,"On target","Strong"))</f>
        <v/>
      </c>
    </row>
    <row r="181">
      <c r="A181" t="inlineStr">
        <is>
          <t>Mandya Trade House</t>
        </is>
      </c>
      <c r="B181" t="inlineStr">
        <is>
          <t>Mandya</t>
        </is>
      </c>
      <c r="C181" s="15" t="n">
        <v>46082</v>
      </c>
      <c r="D181" s="16" t="n">
        <v>1428116</v>
      </c>
      <c r="E181" s="16" t="n">
        <v>1312941</v>
      </c>
      <c r="F181" s="17" t="n">
        <v>0.07581259874986399</v>
      </c>
      <c r="G181" s="16" t="n">
        <v>39796</v>
      </c>
      <c r="H181" s="16" t="n">
        <v>37135</v>
      </c>
      <c r="I181" s="16" t="n">
        <v>38559</v>
      </c>
      <c r="J181" s="16" t="n">
        <v>627697</v>
      </c>
      <c r="K181" s="16">
        <f>D181*F181</f>
        <v/>
      </c>
      <c r="L181" s="16">
        <f>K181+H181-I181</f>
        <v/>
      </c>
      <c r="M181" s="17">
        <f>IFERROR(L181/D181,0)</f>
        <v/>
      </c>
      <c r="N181" s="17">
        <f>IFERROR((L181*12)/J181,0)</f>
        <v/>
      </c>
      <c r="O181" s="17">
        <f>IFERROR(H181/G181,0)</f>
        <v/>
      </c>
      <c r="P181" s="16">
        <f>D181-E181</f>
        <v/>
      </c>
      <c r="Q181">
        <f>IF(M181&lt;0.06,"Below benchmark",IF(M181&lt;=0.08,"On target","Strong"))</f>
        <v/>
      </c>
    </row>
  </sheetData>
  <autoFilter ref="A1:Q181"/>
  <conditionalFormatting sqref="M2:M181">
    <cfRule type="cellIs" priority="1" operator="lessThan" dxfId="0">
      <formula>0.06</formula>
    </cfRule>
  </conditionalFormatting>
  <conditionalFormatting sqref="Q2:Q181">
    <cfRule type="cellIs" priority="2" operator="equal" dxfId="0">
      <formula>"Below benchmark"</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4" customWidth="1" min="1" max="1"/>
    <col width="110" customWidth="1" min="2" max="2"/>
  </cols>
  <sheetData>
    <row r="1">
      <c r="A1" s="18" t="inlineStr">
        <is>
          <t>Project README — Distributor ROI Dashboard</t>
        </is>
      </c>
      <c r="B1" s="2" t="n"/>
    </row>
    <row r="2">
      <c r="A2" s="2" t="n"/>
      <c r="B2" s="2" t="n"/>
    </row>
    <row r="3" ht="42" customHeight="1">
      <c r="A3" s="19" t="inlineStr">
        <is>
          <t>Important disclosure</t>
        </is>
      </c>
      <c r="B3" s="20" t="inlineStr">
        <is>
          <t>All data in this workbook is simulated sample data created for a portfolio project. It does not represent actual company or distributor performance.</t>
        </is>
      </c>
    </row>
    <row r="4" ht="42" customHeight="1">
      <c r="A4" s="19" t="inlineStr">
        <is>
          <t>Project objective</t>
        </is>
      </c>
      <c r="B4" s="20" t="inlineStr">
        <is>
          <t>Track distributor primary sales, secondary sales, margin, scheme claims, operating costs, profitability and annualised ROI.</t>
        </is>
      </c>
    </row>
    <row r="5" ht="55" customHeight="1">
      <c r="A5" s="19" t="inlineStr">
        <is>
          <t>Calculated fields</t>
        </is>
      </c>
      <c r="B5" s="20" t="inlineStr">
        <is>
          <t>Gross Margin = Primary Sales × Margin %. Net Profit = Gross Margin + Claims Settled − Operating Cost. Profitability % = Net Profit ÷ Primary Sales. Annualised ROI = (Net Profit × 12) ÷ Investment. Claim Settlement % = Claims Settled ÷ Claims Raised. Primary vs Secondary Gap = Primary − Secondary.</t>
        </is>
      </c>
    </row>
    <row r="6" ht="42" customHeight="1">
      <c r="A6" s="19" t="inlineStr">
        <is>
          <t>Benchmark</t>
        </is>
      </c>
      <c r="B6" s="20" t="inlineStr">
        <is>
          <t>Below 6% = Below benchmark; 6% through 8% = On target; above 8% = Strong. This is a project assumption based on the brief.</t>
        </is>
      </c>
    </row>
    <row r="7" ht="42" customHeight="1">
      <c r="A7" s="19" t="inlineStr">
        <is>
          <t>Tools</t>
        </is>
      </c>
      <c r="B7" s="20" t="inlineStr">
        <is>
          <t>Microsoft Excel tables, formulas, conditional formatting and charts. Power Query / Power Pivot / slicers are not preconfigured in this generated workbook.</t>
        </is>
      </c>
    </row>
    <row r="8" ht="55" customHeight="1">
      <c r="A8" s="19" t="inlineStr">
        <is>
          <t>Suggested next steps</t>
        </is>
      </c>
      <c r="B8" s="20" t="inlineStr">
        <is>
          <t>Open in Excel and allow formulas to recalculate; review dashboard; add PivotTables and slicers if required; take a screenshot; upload workbook and screenshot to GitHub.</t>
        </is>
      </c>
    </row>
    <row r="9" ht="42" customHeight="1">
      <c r="A9" s="19" t="inlineStr">
        <is>
          <t>Resume bullet</t>
        </is>
      </c>
      <c r="B9" s="20" t="inlineStr">
        <is>
          <t>Built a distributor-wise dashboard of primary sales, margin, claims and ROI on simulated data; flagged distributors below the 6% profitability threshold and recommended corrective actions.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2026-10-28T03:30:16Z</dcterms:created>
  <dcterms:modified xmlns:dcterms="http://purl.org/dc/terms/" xmlns:xsi="http://www.w3.org/2001/XMLSchema-instance" xsi:type="dcterms:W3CDTF">2026-10-28T03:30:16Z</dcterms:modified>
</cp:coreProperties>
</file>